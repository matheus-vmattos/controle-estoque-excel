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B3935B57-280E-4F6B-9B24-01E5708EF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ício" sheetId="1" r:id="rId1"/>
    <sheet name="Dashboard" sheetId="2" r:id="rId2"/>
    <sheet name="Estoque Atual" sheetId="3" r:id="rId3"/>
    <sheet name="Movimentações" sheetId="4" r:id="rId4"/>
    <sheet name="Cad. Materiais" sheetId="5" r:id="rId5"/>
    <sheet name="Cad. Colaboradores" sheetId="6" r:id="rId6"/>
    <sheet name="Listas" sheetId="7" state="hidden" r:id="rId7"/>
  </sheets>
  <calcPr calcId="191029"/>
</workbook>
</file>

<file path=xl/calcChain.xml><?xml version="1.0" encoding="utf-8"?>
<calcChain xmlns="http://schemas.openxmlformats.org/spreadsheetml/2006/main">
  <c r="G53" i="6" l="1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8" i="6"/>
  <c r="G5" i="6"/>
  <c r="G4" i="6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4" i="5"/>
  <c r="J53" i="3"/>
  <c r="F53" i="3"/>
  <c r="E53" i="3"/>
  <c r="D53" i="3"/>
  <c r="C53" i="3"/>
  <c r="A53" i="3"/>
  <c r="L53" i="3" s="1"/>
  <c r="Q53" i="3" s="1"/>
  <c r="L52" i="3"/>
  <c r="Q52" i="3" s="1"/>
  <c r="H52" i="3"/>
  <c r="G52" i="3"/>
  <c r="F52" i="3"/>
  <c r="E52" i="3"/>
  <c r="C52" i="3"/>
  <c r="A52" i="3"/>
  <c r="P52" i="3" s="1"/>
  <c r="J51" i="3"/>
  <c r="I51" i="3"/>
  <c r="R51" i="3" s="1"/>
  <c r="H51" i="3"/>
  <c r="G51" i="3"/>
  <c r="E51" i="3"/>
  <c r="C51" i="3"/>
  <c r="A51" i="3"/>
  <c r="B51" i="3" s="1"/>
  <c r="P50" i="3"/>
  <c r="L50" i="3"/>
  <c r="Q50" i="3" s="1"/>
  <c r="K50" i="3"/>
  <c r="J50" i="3"/>
  <c r="I50" i="3"/>
  <c r="R50" i="3" s="1"/>
  <c r="G50" i="3"/>
  <c r="E50" i="3"/>
  <c r="A50" i="3"/>
  <c r="D50" i="3" s="1"/>
  <c r="M49" i="3"/>
  <c r="O49" i="3" s="1"/>
  <c r="L49" i="3"/>
  <c r="Q49" i="3" s="1"/>
  <c r="K49" i="3"/>
  <c r="I49" i="3"/>
  <c r="R49" i="3" s="1"/>
  <c r="G49" i="3"/>
  <c r="F49" i="3"/>
  <c r="E49" i="3"/>
  <c r="C49" i="3"/>
  <c r="B49" i="3"/>
  <c r="A49" i="3"/>
  <c r="D49" i="3" s="1"/>
  <c r="P48" i="3"/>
  <c r="K48" i="3"/>
  <c r="I48" i="3"/>
  <c r="R48" i="3" s="1"/>
  <c r="H48" i="3"/>
  <c r="G48" i="3"/>
  <c r="E48" i="3"/>
  <c r="D48" i="3"/>
  <c r="C48" i="3"/>
  <c r="A48" i="3"/>
  <c r="F48" i="3" s="1"/>
  <c r="A47" i="3"/>
  <c r="J47" i="3" s="1"/>
  <c r="A46" i="3"/>
  <c r="L46" i="3" s="1"/>
  <c r="Q46" i="3" s="1"/>
  <c r="F45" i="3"/>
  <c r="E45" i="3"/>
  <c r="D45" i="3"/>
  <c r="C45" i="3"/>
  <c r="A45" i="3"/>
  <c r="L45" i="3" s="1"/>
  <c r="Q45" i="3" s="1"/>
  <c r="H44" i="3"/>
  <c r="G44" i="3"/>
  <c r="F44" i="3"/>
  <c r="E44" i="3"/>
  <c r="A44" i="3"/>
  <c r="P44" i="3" s="1"/>
  <c r="J43" i="3"/>
  <c r="I43" i="3"/>
  <c r="R43" i="3" s="1"/>
  <c r="H43" i="3"/>
  <c r="G43" i="3"/>
  <c r="E43" i="3"/>
  <c r="C43" i="3"/>
  <c r="B43" i="3"/>
  <c r="A43" i="3"/>
  <c r="P43" i="3" s="1"/>
  <c r="L42" i="3"/>
  <c r="Q42" i="3" s="1"/>
  <c r="K42" i="3"/>
  <c r="J42" i="3"/>
  <c r="I42" i="3"/>
  <c r="R42" i="3" s="1"/>
  <c r="G42" i="3"/>
  <c r="E42" i="3"/>
  <c r="D42" i="3"/>
  <c r="A42" i="3"/>
  <c r="C42" i="3" s="1"/>
  <c r="M41" i="3"/>
  <c r="L41" i="3"/>
  <c r="Q41" i="3" s="1"/>
  <c r="K41" i="3"/>
  <c r="I41" i="3"/>
  <c r="R41" i="3" s="1"/>
  <c r="G41" i="3"/>
  <c r="F41" i="3"/>
  <c r="C41" i="3"/>
  <c r="A41" i="3"/>
  <c r="E41" i="3" s="1"/>
  <c r="P40" i="3"/>
  <c r="K40" i="3"/>
  <c r="I40" i="3"/>
  <c r="R40" i="3" s="1"/>
  <c r="H40" i="3"/>
  <c r="G40" i="3"/>
  <c r="E40" i="3"/>
  <c r="D40" i="3"/>
  <c r="C40" i="3"/>
  <c r="A40" i="3"/>
  <c r="F40" i="3" s="1"/>
  <c r="A39" i="3"/>
  <c r="J39" i="3" s="1"/>
  <c r="A38" i="3"/>
  <c r="L38" i="3" s="1"/>
  <c r="Q38" i="3" s="1"/>
  <c r="F37" i="3"/>
  <c r="E37" i="3"/>
  <c r="D37" i="3"/>
  <c r="C37" i="3"/>
  <c r="A37" i="3"/>
  <c r="L37" i="3" s="1"/>
  <c r="Q37" i="3" s="1"/>
  <c r="P36" i="3"/>
  <c r="H36" i="3"/>
  <c r="G36" i="3"/>
  <c r="E36" i="3"/>
  <c r="A36" i="3"/>
  <c r="L36" i="3" s="1"/>
  <c r="Q36" i="3" s="1"/>
  <c r="J35" i="3"/>
  <c r="I35" i="3"/>
  <c r="R35" i="3" s="1"/>
  <c r="H35" i="3"/>
  <c r="G35" i="3"/>
  <c r="E35" i="3"/>
  <c r="C35" i="3"/>
  <c r="B35" i="3"/>
  <c r="A35" i="3"/>
  <c r="P35" i="3" s="1"/>
  <c r="L34" i="3"/>
  <c r="Q34" i="3" s="1"/>
  <c r="K34" i="3"/>
  <c r="J34" i="3"/>
  <c r="I34" i="3"/>
  <c r="R34" i="3" s="1"/>
  <c r="G34" i="3"/>
  <c r="E34" i="3"/>
  <c r="D34" i="3"/>
  <c r="A34" i="3"/>
  <c r="C34" i="3" s="1"/>
  <c r="L33" i="3"/>
  <c r="Q33" i="3" s="1"/>
  <c r="K33" i="3"/>
  <c r="I33" i="3"/>
  <c r="R33" i="3" s="1"/>
  <c r="G33" i="3"/>
  <c r="F33" i="3"/>
  <c r="E33" i="3"/>
  <c r="C33" i="3"/>
  <c r="A33" i="3"/>
  <c r="D33" i="3" s="1"/>
  <c r="P32" i="3"/>
  <c r="K32" i="3"/>
  <c r="I32" i="3"/>
  <c r="R32" i="3" s="1"/>
  <c r="H32" i="3"/>
  <c r="G32" i="3"/>
  <c r="E32" i="3"/>
  <c r="D32" i="3"/>
  <c r="C32" i="3"/>
  <c r="A32" i="3"/>
  <c r="F32" i="3" s="1"/>
  <c r="J31" i="3"/>
  <c r="A31" i="3"/>
  <c r="I31" i="3" s="1"/>
  <c r="A30" i="3"/>
  <c r="L30" i="3" s="1"/>
  <c r="Q30" i="3" s="1"/>
  <c r="F29" i="3"/>
  <c r="E29" i="3"/>
  <c r="D29" i="3"/>
  <c r="C29" i="3"/>
  <c r="A29" i="3"/>
  <c r="L29" i="3" s="1"/>
  <c r="Q29" i="3" s="1"/>
  <c r="P28" i="3"/>
  <c r="H28" i="3"/>
  <c r="G28" i="3"/>
  <c r="E28" i="3"/>
  <c r="A28" i="3"/>
  <c r="I27" i="3"/>
  <c r="M27" i="3" s="1"/>
  <c r="H27" i="3"/>
  <c r="G27" i="3"/>
  <c r="E27" i="3"/>
  <c r="C27" i="3"/>
  <c r="B27" i="3"/>
  <c r="A27" i="3"/>
  <c r="P27" i="3" s="1"/>
  <c r="I26" i="3"/>
  <c r="R26" i="3" s="1"/>
  <c r="G26" i="3"/>
  <c r="E26" i="3"/>
  <c r="D26" i="3"/>
  <c r="A26" i="3"/>
  <c r="C26" i="3" s="1"/>
  <c r="I25" i="3"/>
  <c r="R25" i="3" s="1"/>
  <c r="G25" i="3"/>
  <c r="F25" i="3"/>
  <c r="E25" i="3"/>
  <c r="C25" i="3"/>
  <c r="A25" i="3"/>
  <c r="D25" i="3" s="1"/>
  <c r="P24" i="3"/>
  <c r="I24" i="3"/>
  <c r="R24" i="3" s="1"/>
  <c r="H24" i="3"/>
  <c r="G24" i="3"/>
  <c r="E24" i="3"/>
  <c r="D24" i="3"/>
  <c r="C24" i="3"/>
  <c r="A24" i="3"/>
  <c r="F24" i="3" s="1"/>
  <c r="A23" i="3"/>
  <c r="A22" i="3"/>
  <c r="C22" i="3" s="1"/>
  <c r="F21" i="3"/>
  <c r="E21" i="3"/>
  <c r="D21" i="3"/>
  <c r="C21" i="3"/>
  <c r="A21" i="3"/>
  <c r="P20" i="3"/>
  <c r="H20" i="3"/>
  <c r="G20" i="3"/>
  <c r="E20" i="3"/>
  <c r="A20" i="3"/>
  <c r="I19" i="3"/>
  <c r="H19" i="3"/>
  <c r="G19" i="3"/>
  <c r="E19" i="3"/>
  <c r="C19" i="3"/>
  <c r="B19" i="3"/>
  <c r="A19" i="3"/>
  <c r="P19" i="3" s="1"/>
  <c r="I18" i="3"/>
  <c r="G18" i="3"/>
  <c r="E18" i="3"/>
  <c r="D18" i="3"/>
  <c r="A18" i="3"/>
  <c r="C18" i="3" s="1"/>
  <c r="I17" i="3"/>
  <c r="R17" i="3" s="1"/>
  <c r="G17" i="3"/>
  <c r="F17" i="3"/>
  <c r="E17" i="3"/>
  <c r="C17" i="3"/>
  <c r="A17" i="3"/>
  <c r="D17" i="3" s="1"/>
  <c r="P16" i="3"/>
  <c r="I16" i="3"/>
  <c r="R16" i="3" s="1"/>
  <c r="H16" i="3"/>
  <c r="G16" i="3"/>
  <c r="E16" i="3"/>
  <c r="D16" i="3"/>
  <c r="C16" i="3"/>
  <c r="A16" i="3"/>
  <c r="F16" i="3" s="1"/>
  <c r="A15" i="3"/>
  <c r="A14" i="3"/>
  <c r="F13" i="3"/>
  <c r="E13" i="3"/>
  <c r="D13" i="3"/>
  <c r="C13" i="3"/>
  <c r="A13" i="3"/>
  <c r="P12" i="3"/>
  <c r="H12" i="3"/>
  <c r="G12" i="3"/>
  <c r="E12" i="3"/>
  <c r="A12" i="3"/>
  <c r="I11" i="3"/>
  <c r="H11" i="3"/>
  <c r="G11" i="3"/>
  <c r="E11" i="3"/>
  <c r="C11" i="3"/>
  <c r="B11" i="3"/>
  <c r="A11" i="3"/>
  <c r="P11" i="3" s="1"/>
  <c r="I10" i="3"/>
  <c r="G10" i="3"/>
  <c r="E10" i="3"/>
  <c r="D10" i="3"/>
  <c r="A10" i="3"/>
  <c r="C10" i="3" s="1"/>
  <c r="I9" i="3"/>
  <c r="R9" i="3" s="1"/>
  <c r="G9" i="3"/>
  <c r="F9" i="3"/>
  <c r="E9" i="3"/>
  <c r="C9" i="3"/>
  <c r="A9" i="3"/>
  <c r="D9" i="3" s="1"/>
  <c r="P8" i="3"/>
  <c r="I8" i="3"/>
  <c r="R8" i="3" s="1"/>
  <c r="H8" i="3"/>
  <c r="G8" i="3"/>
  <c r="E8" i="3"/>
  <c r="D8" i="3"/>
  <c r="C8" i="3"/>
  <c r="A8" i="3"/>
  <c r="F8" i="3" s="1"/>
  <c r="A7" i="3"/>
  <c r="A6" i="3"/>
  <c r="D25" i="2" s="1"/>
  <c r="F5" i="3"/>
  <c r="E5" i="3"/>
  <c r="D5" i="3"/>
  <c r="C5" i="3"/>
  <c r="A5" i="3"/>
  <c r="P4" i="3"/>
  <c r="H4" i="3"/>
  <c r="G4" i="3"/>
  <c r="E4" i="3"/>
  <c r="A4" i="3"/>
  <c r="E37" i="2"/>
  <c r="C37" i="2"/>
  <c r="B37" i="2"/>
  <c r="E36" i="2"/>
  <c r="C36" i="2"/>
  <c r="B36" i="2"/>
  <c r="E35" i="2"/>
  <c r="C35" i="2"/>
  <c r="B35" i="2"/>
  <c r="E34" i="2"/>
  <c r="C34" i="2"/>
  <c r="B34" i="2"/>
  <c r="E33" i="2"/>
  <c r="C33" i="2"/>
  <c r="B33" i="2"/>
  <c r="E32" i="2"/>
  <c r="C32" i="2"/>
  <c r="B32" i="2"/>
  <c r="E31" i="2"/>
  <c r="C31" i="2"/>
  <c r="B31" i="2"/>
  <c r="E30" i="2"/>
  <c r="C30" i="2"/>
  <c r="B30" i="2"/>
  <c r="E29" i="2"/>
  <c r="C29" i="2"/>
  <c r="B29" i="2"/>
  <c r="E28" i="2"/>
  <c r="C28" i="2"/>
  <c r="B28" i="2"/>
  <c r="E27" i="2"/>
  <c r="C27" i="2"/>
  <c r="B27" i="2"/>
  <c r="E26" i="2"/>
  <c r="D26" i="2"/>
  <c r="C26" i="2"/>
  <c r="B26" i="2"/>
  <c r="E25" i="2"/>
  <c r="C25" i="2"/>
  <c r="B25" i="2"/>
  <c r="E24" i="2"/>
  <c r="C24" i="2"/>
  <c r="B24" i="2"/>
  <c r="C19" i="2"/>
  <c r="B19" i="2"/>
  <c r="C18" i="2"/>
  <c r="B18" i="2"/>
  <c r="C17" i="2"/>
  <c r="B17" i="2"/>
  <c r="D17" i="2" s="1"/>
  <c r="C16" i="2"/>
  <c r="B16" i="2"/>
  <c r="C15" i="2"/>
  <c r="D15" i="2" s="1"/>
  <c r="B15" i="2"/>
  <c r="C14" i="2"/>
  <c r="B14" i="2"/>
  <c r="C13" i="2"/>
  <c r="D13" i="2" s="1"/>
  <c r="B13" i="2"/>
  <c r="C12" i="2"/>
  <c r="B12" i="2"/>
  <c r="C11" i="2"/>
  <c r="B11" i="2"/>
  <c r="D11" i="2" s="1"/>
  <c r="C10" i="2"/>
  <c r="B10" i="2"/>
  <c r="C9" i="2"/>
  <c r="B9" i="2"/>
  <c r="C8" i="2"/>
  <c r="B8" i="2"/>
  <c r="M4" i="2"/>
  <c r="A4" i="2"/>
  <c r="D16" i="2" l="1"/>
  <c r="J27" i="3"/>
  <c r="M48" i="3"/>
  <c r="O48" i="3" s="1"/>
  <c r="D9" i="2"/>
  <c r="D14" i="2"/>
  <c r="D8" i="2"/>
  <c r="R27" i="3"/>
  <c r="M33" i="3"/>
  <c r="O33" i="3" s="1"/>
  <c r="M9" i="3"/>
  <c r="M16" i="3"/>
  <c r="C20" i="2"/>
  <c r="M25" i="3"/>
  <c r="O25" i="3" s="1"/>
  <c r="C38" i="2"/>
  <c r="M40" i="3"/>
  <c r="O40" i="3" s="1"/>
  <c r="M32" i="3"/>
  <c r="O32" i="3" s="1"/>
  <c r="D19" i="2"/>
  <c r="M8" i="3"/>
  <c r="D12" i="2"/>
  <c r="B20" i="2"/>
  <c r="M17" i="3"/>
  <c r="O17" i="3" s="1"/>
  <c r="M24" i="3"/>
  <c r="O24" i="3" s="1"/>
  <c r="D18" i="2"/>
  <c r="R31" i="3"/>
  <c r="M31" i="3"/>
  <c r="I14" i="3"/>
  <c r="H14" i="3"/>
  <c r="G14" i="3"/>
  <c r="F14" i="3"/>
  <c r="E14" i="3"/>
  <c r="D14" i="3"/>
  <c r="B14" i="3"/>
  <c r="P14" i="3"/>
  <c r="N27" i="3"/>
  <c r="I22" i="3"/>
  <c r="H22" i="3"/>
  <c r="G22" i="3"/>
  <c r="F22" i="3"/>
  <c r="E22" i="3"/>
  <c r="D22" i="3"/>
  <c r="B22" i="3"/>
  <c r="P22" i="3"/>
  <c r="D33" i="2"/>
  <c r="I6" i="3"/>
  <c r="H6" i="3"/>
  <c r="J6" i="3" s="1"/>
  <c r="K6" i="3" s="1"/>
  <c r="G6" i="3"/>
  <c r="F6" i="3"/>
  <c r="D32" i="2"/>
  <c r="E6" i="3"/>
  <c r="D6" i="3"/>
  <c r="B6" i="3"/>
  <c r="P6" i="3"/>
  <c r="D30" i="2"/>
  <c r="C14" i="3"/>
  <c r="D27" i="2"/>
  <c r="I15" i="3"/>
  <c r="H15" i="3"/>
  <c r="G15" i="3"/>
  <c r="F15" i="3"/>
  <c r="E15" i="3"/>
  <c r="D15" i="3"/>
  <c r="C15" i="3"/>
  <c r="B15" i="3"/>
  <c r="P15" i="3"/>
  <c r="M19" i="3"/>
  <c r="J19" i="3"/>
  <c r="K19" i="3" s="1"/>
  <c r="R19" i="3"/>
  <c r="I7" i="3"/>
  <c r="H7" i="3"/>
  <c r="G7" i="3"/>
  <c r="F7" i="3"/>
  <c r="E7" i="3"/>
  <c r="D7" i="3"/>
  <c r="C7" i="3"/>
  <c r="B7" i="3"/>
  <c r="P7" i="3"/>
  <c r="M11" i="3"/>
  <c r="J11" i="3"/>
  <c r="R11" i="3"/>
  <c r="D31" i="2"/>
  <c r="C6" i="3"/>
  <c r="I23" i="3"/>
  <c r="H23" i="3"/>
  <c r="G23" i="3"/>
  <c r="F23" i="3"/>
  <c r="E23" i="3"/>
  <c r="D23" i="3"/>
  <c r="C23" i="3"/>
  <c r="B23" i="3"/>
  <c r="P23" i="3"/>
  <c r="D10" i="2"/>
  <c r="D37" i="2"/>
  <c r="D28" i="2"/>
  <c r="D24" i="2"/>
  <c r="O9" i="3"/>
  <c r="N9" i="3"/>
  <c r="D29" i="2"/>
  <c r="R18" i="3"/>
  <c r="M18" i="3"/>
  <c r="R10" i="3"/>
  <c r="M10" i="3"/>
  <c r="K31" i="3"/>
  <c r="K39" i="3"/>
  <c r="K47" i="3"/>
  <c r="D34" i="2"/>
  <c r="B4" i="3"/>
  <c r="P5" i="3"/>
  <c r="J8" i="3"/>
  <c r="K8" i="3" s="1"/>
  <c r="H9" i="3"/>
  <c r="J9" i="3" s="1"/>
  <c r="F10" i="3"/>
  <c r="D11" i="3"/>
  <c r="L11" i="3" s="1"/>
  <c r="Q11" i="3" s="1"/>
  <c r="B12" i="3"/>
  <c r="P13" i="3"/>
  <c r="J16" i="3"/>
  <c r="K16" i="3" s="1"/>
  <c r="H17" i="3"/>
  <c r="J17" i="3" s="1"/>
  <c r="F18" i="3"/>
  <c r="D19" i="3"/>
  <c r="B20" i="3"/>
  <c r="P21" i="3"/>
  <c r="J24" i="3"/>
  <c r="K24" i="3" s="1"/>
  <c r="H25" i="3"/>
  <c r="J25" i="3" s="1"/>
  <c r="F26" i="3"/>
  <c r="D27" i="3"/>
  <c r="O27" i="3" s="1"/>
  <c r="B28" i="3"/>
  <c r="P29" i="3"/>
  <c r="L31" i="3"/>
  <c r="Q31" i="3" s="1"/>
  <c r="J32" i="3"/>
  <c r="H33" i="3"/>
  <c r="F34" i="3"/>
  <c r="D35" i="3"/>
  <c r="B36" i="3"/>
  <c r="P37" i="3"/>
  <c r="L39" i="3"/>
  <c r="Q39" i="3" s="1"/>
  <c r="J40" i="3"/>
  <c r="H41" i="3"/>
  <c r="F42" i="3"/>
  <c r="D43" i="3"/>
  <c r="B44" i="3"/>
  <c r="P45" i="3"/>
  <c r="L47" i="3"/>
  <c r="Q47" i="3" s="1"/>
  <c r="J48" i="3"/>
  <c r="H49" i="3"/>
  <c r="F50" i="3"/>
  <c r="D51" i="3"/>
  <c r="B52" i="3"/>
  <c r="P53" i="3"/>
  <c r="C12" i="3"/>
  <c r="C20" i="3"/>
  <c r="C28" i="3"/>
  <c r="C36" i="3"/>
  <c r="C44" i="3"/>
  <c r="C4" i="3"/>
  <c r="D4" i="3"/>
  <c r="B5" i="3"/>
  <c r="H10" i="3"/>
  <c r="J10" i="3" s="1"/>
  <c r="F11" i="3"/>
  <c r="D12" i="3"/>
  <c r="B13" i="3"/>
  <c r="H18" i="3"/>
  <c r="J18" i="3" s="1"/>
  <c r="F19" i="3"/>
  <c r="D20" i="3"/>
  <c r="B21" i="3"/>
  <c r="H26" i="3"/>
  <c r="J26" i="3" s="1"/>
  <c r="F27" i="3"/>
  <c r="K27" i="3" s="1"/>
  <c r="D28" i="3"/>
  <c r="B29" i="3"/>
  <c r="P30" i="3"/>
  <c r="L32" i="3"/>
  <c r="Q32" i="3" s="1"/>
  <c r="J33" i="3"/>
  <c r="H34" i="3"/>
  <c r="F35" i="3"/>
  <c r="D36" i="3"/>
  <c r="B37" i="3"/>
  <c r="P38" i="3"/>
  <c r="L40" i="3"/>
  <c r="Q40" i="3" s="1"/>
  <c r="J41" i="3"/>
  <c r="H42" i="3"/>
  <c r="F43" i="3"/>
  <c r="D44" i="3"/>
  <c r="B45" i="3"/>
  <c r="P46" i="3"/>
  <c r="L48" i="3"/>
  <c r="Q48" i="3" s="1"/>
  <c r="J49" i="3"/>
  <c r="H50" i="3"/>
  <c r="F51" i="3"/>
  <c r="D52" i="3"/>
  <c r="B53" i="3"/>
  <c r="D35" i="2"/>
  <c r="F4" i="3"/>
  <c r="F12" i="3"/>
  <c r="F20" i="3"/>
  <c r="F28" i="3"/>
  <c r="B30" i="3"/>
  <c r="P31" i="3"/>
  <c r="F36" i="3"/>
  <c r="B38" i="3"/>
  <c r="P39" i="3"/>
  <c r="B46" i="3"/>
  <c r="P47" i="3"/>
  <c r="N48" i="3"/>
  <c r="C30" i="3"/>
  <c r="C38" i="3"/>
  <c r="C46" i="3"/>
  <c r="D30" i="3"/>
  <c r="B31" i="3"/>
  <c r="N33" i="3"/>
  <c r="D38" i="3"/>
  <c r="B39" i="3"/>
  <c r="N41" i="3"/>
  <c r="D46" i="3"/>
  <c r="B47" i="3"/>
  <c r="N49" i="3"/>
  <c r="I4" i="3"/>
  <c r="J4" i="3" s="1"/>
  <c r="L4" i="3" s="1"/>
  <c r="G5" i="3"/>
  <c r="K11" i="3"/>
  <c r="I12" i="3"/>
  <c r="J12" i="3" s="1"/>
  <c r="G13" i="3"/>
  <c r="I20" i="3"/>
  <c r="J20" i="3" s="1"/>
  <c r="G21" i="3"/>
  <c r="M26" i="3"/>
  <c r="I28" i="3"/>
  <c r="J28" i="3" s="1"/>
  <c r="K28" i="3" s="1"/>
  <c r="G29" i="3"/>
  <c r="E30" i="3"/>
  <c r="C31" i="3"/>
  <c r="M34" i="3"/>
  <c r="K35" i="3"/>
  <c r="I36" i="3"/>
  <c r="G37" i="3"/>
  <c r="E38" i="3"/>
  <c r="C39" i="3"/>
  <c r="M42" i="3"/>
  <c r="K43" i="3"/>
  <c r="I44" i="3"/>
  <c r="G45" i="3"/>
  <c r="E46" i="3"/>
  <c r="C47" i="3"/>
  <c r="M50" i="3"/>
  <c r="K51" i="3"/>
  <c r="I52" i="3"/>
  <c r="G53" i="3"/>
  <c r="D36" i="2"/>
  <c r="H5" i="3"/>
  <c r="B8" i="3"/>
  <c r="P9" i="3"/>
  <c r="H13" i="3"/>
  <c r="B16" i="3"/>
  <c r="P17" i="3"/>
  <c r="H21" i="3"/>
  <c r="J21" i="3" s="1"/>
  <c r="B24" i="3"/>
  <c r="P25" i="3"/>
  <c r="L27" i="3"/>
  <c r="Q27" i="3" s="1"/>
  <c r="H29" i="3"/>
  <c r="F30" i="3"/>
  <c r="D31" i="3"/>
  <c r="B32" i="3"/>
  <c r="P33" i="3"/>
  <c r="L35" i="3"/>
  <c r="Q35" i="3" s="1"/>
  <c r="J36" i="3"/>
  <c r="H37" i="3"/>
  <c r="F38" i="3"/>
  <c r="D39" i="3"/>
  <c r="B40" i="3"/>
  <c r="P41" i="3"/>
  <c r="L43" i="3"/>
  <c r="Q43" i="3" s="1"/>
  <c r="J44" i="3"/>
  <c r="H45" i="3"/>
  <c r="F46" i="3"/>
  <c r="D47" i="3"/>
  <c r="B48" i="3"/>
  <c r="P49" i="3"/>
  <c r="L51" i="3"/>
  <c r="Q51" i="3" s="1"/>
  <c r="J52" i="3"/>
  <c r="H53" i="3"/>
  <c r="J5" i="5"/>
  <c r="I5" i="3"/>
  <c r="I13" i="3"/>
  <c r="I21" i="3"/>
  <c r="I29" i="3"/>
  <c r="G30" i="3"/>
  <c r="E31" i="3"/>
  <c r="M35" i="3"/>
  <c r="K36" i="3"/>
  <c r="I37" i="3"/>
  <c r="G38" i="3"/>
  <c r="E39" i="3"/>
  <c r="M43" i="3"/>
  <c r="K44" i="3"/>
  <c r="I45" i="3"/>
  <c r="G46" i="3"/>
  <c r="E47" i="3"/>
  <c r="M51" i="3"/>
  <c r="K52" i="3"/>
  <c r="I53" i="3"/>
  <c r="B9" i="3"/>
  <c r="P10" i="3"/>
  <c r="B17" i="3"/>
  <c r="P18" i="3"/>
  <c r="B25" i="3"/>
  <c r="P26" i="3"/>
  <c r="J29" i="3"/>
  <c r="H30" i="3"/>
  <c r="F31" i="3"/>
  <c r="B33" i="3"/>
  <c r="P34" i="3"/>
  <c r="J37" i="3"/>
  <c r="H38" i="3"/>
  <c r="F39" i="3"/>
  <c r="B41" i="3"/>
  <c r="P42" i="3"/>
  <c r="L44" i="3"/>
  <c r="Q44" i="3" s="1"/>
  <c r="J45" i="3"/>
  <c r="H46" i="3"/>
  <c r="F47" i="3"/>
  <c r="K29" i="3"/>
  <c r="I30" i="3"/>
  <c r="G31" i="3"/>
  <c r="K37" i="3"/>
  <c r="I38" i="3"/>
  <c r="G39" i="3"/>
  <c r="K45" i="3"/>
  <c r="I46" i="3"/>
  <c r="G47" i="3"/>
  <c r="K53" i="3"/>
  <c r="G6" i="6"/>
  <c r="A2" i="7"/>
  <c r="B10" i="3"/>
  <c r="B18" i="3"/>
  <c r="B26" i="3"/>
  <c r="J30" i="3"/>
  <c r="H31" i="3"/>
  <c r="B34" i="3"/>
  <c r="J38" i="3"/>
  <c r="H39" i="3"/>
  <c r="D41" i="3"/>
  <c r="O41" i="3" s="1"/>
  <c r="B42" i="3"/>
  <c r="J46" i="3"/>
  <c r="H47" i="3"/>
  <c r="B50" i="3"/>
  <c r="P51" i="3"/>
  <c r="G7" i="6"/>
  <c r="B2" i="7"/>
  <c r="K30" i="3"/>
  <c r="K38" i="3"/>
  <c r="I39" i="3"/>
  <c r="K46" i="3"/>
  <c r="I47" i="3"/>
  <c r="C50" i="3"/>
  <c r="A3" i="7"/>
  <c r="B3" i="7"/>
  <c r="J15" i="3" l="1"/>
  <c r="N40" i="3"/>
  <c r="J13" i="3"/>
  <c r="K13" i="3" s="1"/>
  <c r="N32" i="3"/>
  <c r="K12" i="3"/>
  <c r="L12" i="3"/>
  <c r="Q12" i="3" s="1"/>
  <c r="L8" i="3"/>
  <c r="Q8" i="3" s="1"/>
  <c r="N8" i="3"/>
  <c r="O8" i="3"/>
  <c r="N17" i="3"/>
  <c r="H54" i="3"/>
  <c r="J14" i="3"/>
  <c r="L14" i="3" s="1"/>
  <c r="Q14" i="3" s="1"/>
  <c r="N16" i="3"/>
  <c r="O16" i="3"/>
  <c r="D20" i="2"/>
  <c r="L19" i="3"/>
  <c r="Q19" i="3" s="1"/>
  <c r="L16" i="3"/>
  <c r="Q16" i="3" s="1"/>
  <c r="J23" i="3"/>
  <c r="K23" i="3" s="1"/>
  <c r="J7" i="3"/>
  <c r="L7" i="3" s="1"/>
  <c r="Q7" i="3" s="1"/>
  <c r="J22" i="3"/>
  <c r="K22" i="3" s="1"/>
  <c r="L25" i="3"/>
  <c r="Q25" i="3" s="1"/>
  <c r="K25" i="3"/>
  <c r="N25" i="3"/>
  <c r="Q4" i="3"/>
  <c r="L15" i="3"/>
  <c r="Q15" i="3" s="1"/>
  <c r="K15" i="3"/>
  <c r="K21" i="3"/>
  <c r="L21" i="3"/>
  <c r="Q21" i="3" s="1"/>
  <c r="L20" i="3"/>
  <c r="Q20" i="3" s="1"/>
  <c r="K20" i="3"/>
  <c r="L26" i="3"/>
  <c r="Q26" i="3" s="1"/>
  <c r="K26" i="3"/>
  <c r="M45" i="3"/>
  <c r="R45" i="3"/>
  <c r="M12" i="3"/>
  <c r="R12" i="3"/>
  <c r="O11" i="3"/>
  <c r="N11" i="3"/>
  <c r="O19" i="3"/>
  <c r="N19" i="3"/>
  <c r="L6" i="3"/>
  <c r="Q6" i="3" s="1"/>
  <c r="L10" i="3"/>
  <c r="Q10" i="3" s="1"/>
  <c r="K10" i="3"/>
  <c r="L24" i="3"/>
  <c r="Q24" i="3" s="1"/>
  <c r="O43" i="3"/>
  <c r="N43" i="3"/>
  <c r="N24" i="3"/>
  <c r="L18" i="3"/>
  <c r="Q18" i="3" s="1"/>
  <c r="K18" i="3"/>
  <c r="B5" i="7"/>
  <c r="R38" i="3"/>
  <c r="M38" i="3"/>
  <c r="O51" i="3"/>
  <c r="N51" i="3"/>
  <c r="O26" i="3"/>
  <c r="N26" i="3"/>
  <c r="O18" i="3"/>
  <c r="N18" i="3"/>
  <c r="M13" i="3"/>
  <c r="R13" i="3"/>
  <c r="L13" i="3"/>
  <c r="Q13" i="3" s="1"/>
  <c r="R30" i="3"/>
  <c r="M30" i="3"/>
  <c r="M5" i="3"/>
  <c r="R5" i="3"/>
  <c r="J5" i="3"/>
  <c r="K4" i="3"/>
  <c r="O42" i="3"/>
  <c r="N42" i="3"/>
  <c r="B4" i="7"/>
  <c r="L28" i="3"/>
  <c r="Q28" i="3" s="1"/>
  <c r="R47" i="3"/>
  <c r="M47" i="3"/>
  <c r="M37" i="3"/>
  <c r="R37" i="3"/>
  <c r="M36" i="3"/>
  <c r="R36" i="3"/>
  <c r="M4" i="3"/>
  <c r="I54" i="3"/>
  <c r="R4" i="3"/>
  <c r="R14" i="3"/>
  <c r="M14" i="3"/>
  <c r="R15" i="3"/>
  <c r="M15" i="3"/>
  <c r="M20" i="3"/>
  <c r="R20" i="3"/>
  <c r="B6" i="7"/>
  <c r="L17" i="3"/>
  <c r="Q17" i="3" s="1"/>
  <c r="K17" i="3"/>
  <c r="R22" i="3"/>
  <c r="M22" i="3"/>
  <c r="O31" i="3"/>
  <c r="N31" i="3"/>
  <c r="O10" i="3"/>
  <c r="N10" i="3"/>
  <c r="G9" i="6"/>
  <c r="J7" i="5"/>
  <c r="M52" i="3"/>
  <c r="R52" i="3"/>
  <c r="R46" i="3"/>
  <c r="M46" i="3"/>
  <c r="J6" i="5"/>
  <c r="M29" i="3"/>
  <c r="R29" i="3"/>
  <c r="M53" i="3"/>
  <c r="R53" i="3"/>
  <c r="O50" i="3"/>
  <c r="N50" i="3"/>
  <c r="M28" i="3"/>
  <c r="R28" i="3"/>
  <c r="R7" i="3"/>
  <c r="M7" i="3"/>
  <c r="M44" i="3"/>
  <c r="R44" i="3"/>
  <c r="R39" i="3"/>
  <c r="M39" i="3"/>
  <c r="O35" i="3"/>
  <c r="N35" i="3"/>
  <c r="O34" i="3"/>
  <c r="N34" i="3"/>
  <c r="M21" i="3"/>
  <c r="R21" i="3"/>
  <c r="L9" i="3"/>
  <c r="Q9" i="3" s="1"/>
  <c r="K9" i="3"/>
  <c r="R23" i="3"/>
  <c r="M23" i="3"/>
  <c r="R6" i="3"/>
  <c r="M6" i="3"/>
  <c r="L23" i="3" l="1"/>
  <c r="Q23" i="3" s="1"/>
  <c r="K14" i="3"/>
  <c r="L22" i="3"/>
  <c r="Q22" i="3" s="1"/>
  <c r="K7" i="3"/>
  <c r="O4" i="3"/>
  <c r="N4" i="3"/>
  <c r="N13" i="3"/>
  <c r="O13" i="3"/>
  <c r="N53" i="3"/>
  <c r="O53" i="3"/>
  <c r="O36" i="3"/>
  <c r="N36" i="3"/>
  <c r="N7" i="3"/>
  <c r="O7" i="3"/>
  <c r="O20" i="3"/>
  <c r="N20" i="3"/>
  <c r="N37" i="3"/>
  <c r="O37" i="3"/>
  <c r="N45" i="3"/>
  <c r="O45" i="3"/>
  <c r="N29" i="3"/>
  <c r="O29" i="3"/>
  <c r="N15" i="3"/>
  <c r="O15" i="3"/>
  <c r="K54" i="3"/>
  <c r="D4" i="2"/>
  <c r="O38" i="3"/>
  <c r="N38" i="3"/>
  <c r="O12" i="3"/>
  <c r="N12" i="3"/>
  <c r="O44" i="3"/>
  <c r="N44" i="3"/>
  <c r="O21" i="3"/>
  <c r="N21" i="3"/>
  <c r="A5" i="7"/>
  <c r="A4" i="7"/>
  <c r="L5" i="3"/>
  <c r="K5" i="3"/>
  <c r="O14" i="3"/>
  <c r="N14" i="3"/>
  <c r="O39" i="3"/>
  <c r="N39" i="3"/>
  <c r="G10" i="6"/>
  <c r="O47" i="3"/>
  <c r="N47" i="3"/>
  <c r="O30" i="3"/>
  <c r="N30" i="3"/>
  <c r="N23" i="3"/>
  <c r="O23" i="3"/>
  <c r="O52" i="3"/>
  <c r="N52" i="3"/>
  <c r="O28" i="3"/>
  <c r="N28" i="3"/>
  <c r="J8" i="5"/>
  <c r="O5" i="3"/>
  <c r="N5" i="3"/>
  <c r="O46" i="3"/>
  <c r="N46" i="3"/>
  <c r="O22" i="3"/>
  <c r="N22" i="3"/>
  <c r="H11" i="2"/>
  <c r="I14" i="2"/>
  <c r="G11" i="2"/>
  <c r="H17" i="2"/>
  <c r="H9" i="2"/>
  <c r="G17" i="2"/>
  <c r="I12" i="2"/>
  <c r="G9" i="2"/>
  <c r="G15" i="2"/>
  <c r="I10" i="2"/>
  <c r="H13" i="2"/>
  <c r="H15" i="2"/>
  <c r="I8" i="2"/>
  <c r="I17" i="2"/>
  <c r="G8" i="2"/>
  <c r="G12" i="2"/>
  <c r="H10" i="2"/>
  <c r="H12" i="2"/>
  <c r="G10" i="2"/>
  <c r="H14" i="2"/>
  <c r="H16" i="2"/>
  <c r="G16" i="2"/>
  <c r="I9" i="2"/>
  <c r="I16" i="2"/>
  <c r="G14" i="2"/>
  <c r="I13" i="2"/>
  <c r="I11" i="2"/>
  <c r="I15" i="2"/>
  <c r="G13" i="2"/>
  <c r="H8" i="2"/>
  <c r="J54" i="3"/>
  <c r="O6" i="3"/>
  <c r="N6" i="3"/>
  <c r="A7" i="7" l="1"/>
  <c r="B7" i="7"/>
  <c r="A6" i="7"/>
  <c r="Q5" i="3"/>
  <c r="J4" i="2"/>
  <c r="G4" i="2"/>
  <c r="G11" i="6"/>
  <c r="J9" i="5"/>
  <c r="G12" i="6" l="1"/>
  <c r="L15" i="2"/>
  <c r="L12" i="2"/>
  <c r="N16" i="2"/>
  <c r="L16" i="2"/>
  <c r="K16" i="2"/>
  <c r="L13" i="2"/>
  <c r="N11" i="2"/>
  <c r="L11" i="2"/>
  <c r="M11" i="2"/>
  <c r="K15" i="2"/>
  <c r="N8" i="2"/>
  <c r="N9" i="2"/>
  <c r="K8" i="2"/>
  <c r="M8" i="2"/>
  <c r="M17" i="2"/>
  <c r="N17" i="2"/>
  <c r="K9" i="2"/>
  <c r="M12" i="2"/>
  <c r="K14" i="2"/>
  <c r="L10" i="2"/>
  <c r="M13" i="2"/>
  <c r="N14" i="2"/>
  <c r="M14" i="2"/>
  <c r="M9" i="2"/>
  <c r="M16" i="2"/>
  <c r="K11" i="2"/>
  <c r="L9" i="2"/>
  <c r="K10" i="2"/>
  <c r="M10" i="2"/>
  <c r="L17" i="2"/>
  <c r="L14" i="2"/>
  <c r="N15" i="2"/>
  <c r="K12" i="2"/>
  <c r="N10" i="2"/>
  <c r="N12" i="2"/>
  <c r="N13" i="2"/>
  <c r="K13" i="2"/>
  <c r="L8" i="2"/>
  <c r="M15" i="2"/>
  <c r="K17" i="2"/>
  <c r="B8" i="7"/>
  <c r="J10" i="5"/>
  <c r="B9" i="7"/>
  <c r="J11" i="5" l="1"/>
  <c r="A8" i="7"/>
  <c r="G13" i="6"/>
  <c r="A11" i="7" l="1"/>
  <c r="J12" i="5"/>
  <c r="J13" i="5"/>
  <c r="J14" i="5" s="1"/>
  <c r="G14" i="6"/>
  <c r="B10" i="7"/>
  <c r="A9" i="7"/>
  <c r="J15" i="5" l="1"/>
  <c r="J16" i="5" s="1"/>
  <c r="J17" i="5" s="1"/>
  <c r="J18" i="5" s="1"/>
  <c r="J19" i="5" s="1"/>
  <c r="J20" i="5"/>
  <c r="J21" i="5" s="1"/>
  <c r="J22" i="5" s="1"/>
  <c r="J23" i="5" s="1"/>
  <c r="J24" i="5" s="1"/>
  <c r="J25" i="5" s="1"/>
  <c r="J26" i="5" s="1"/>
  <c r="J27" i="5" s="1"/>
  <c r="J28" i="5" s="1"/>
  <c r="G15" i="6"/>
  <c r="G16" i="6" s="1"/>
  <c r="G17" i="6" s="1"/>
  <c r="B41" i="7" s="1"/>
  <c r="B18" i="7"/>
  <c r="B50" i="7"/>
  <c r="B36" i="7"/>
  <c r="A47" i="7" l="1"/>
  <c r="A51" i="7"/>
  <c r="A13" i="7"/>
  <c r="A33" i="7"/>
  <c r="A19" i="7"/>
  <c r="A31" i="7"/>
  <c r="A15" i="7"/>
  <c r="A10" i="7"/>
  <c r="A22" i="7"/>
  <c r="A38" i="7"/>
  <c r="A41" i="7"/>
  <c r="A37" i="7"/>
  <c r="A20" i="7"/>
  <c r="A39" i="7"/>
  <c r="A23" i="7"/>
  <c r="A25" i="7"/>
  <c r="A44" i="7"/>
  <c r="A24" i="7"/>
  <c r="A50" i="7"/>
  <c r="A34" i="7"/>
  <c r="A36" i="7"/>
  <c r="A21" i="7"/>
  <c r="A29" i="7"/>
  <c r="A14" i="7"/>
  <c r="A49" i="7"/>
  <c r="A12" i="7"/>
  <c r="A18" i="7"/>
  <c r="A16" i="7"/>
  <c r="A45" i="7"/>
  <c r="A32" i="7"/>
  <c r="A43" i="7"/>
  <c r="A28" i="7"/>
  <c r="A35" i="7"/>
  <c r="A46" i="7"/>
  <c r="A30" i="7"/>
  <c r="A42" i="7"/>
  <c r="A48" i="7"/>
  <c r="A27" i="7"/>
  <c r="A26" i="7"/>
  <c r="A17" i="7"/>
  <c r="A40" i="7"/>
  <c r="B34" i="7"/>
  <c r="B42" i="7"/>
  <c r="B17" i="7"/>
  <c r="B19" i="7"/>
  <c r="B12" i="7"/>
  <c r="B51" i="7"/>
  <c r="B27" i="7"/>
  <c r="B49" i="7"/>
  <c r="B14" i="7"/>
  <c r="B22" i="7"/>
  <c r="B39" i="7"/>
  <c r="B24" i="7"/>
  <c r="B20" i="7"/>
  <c r="B35" i="7"/>
  <c r="B28" i="7"/>
  <c r="B32" i="7"/>
  <c r="B15" i="7"/>
  <c r="B26" i="7"/>
  <c r="B11" i="7"/>
  <c r="B46" i="7"/>
  <c r="B25" i="7"/>
  <c r="B23" i="7"/>
  <c r="B21" i="7"/>
  <c r="B40" i="7"/>
  <c r="B29" i="7"/>
  <c r="B30" i="7"/>
  <c r="B33" i="7"/>
  <c r="B31" i="7"/>
  <c r="B45" i="7"/>
  <c r="B43" i="7"/>
  <c r="B37" i="7"/>
  <c r="B13" i="7"/>
  <c r="B38" i="7"/>
  <c r="B48" i="7"/>
  <c r="B47" i="7"/>
  <c r="B16" i="7"/>
  <c r="B44" i="7"/>
</calcChain>
</file>

<file path=xl/sharedStrings.xml><?xml version="1.0" encoding="utf-8"?>
<sst xmlns="http://schemas.openxmlformats.org/spreadsheetml/2006/main" count="736" uniqueCount="207">
  <si>
    <t>📦 CONTROLE DE MATERIAL — 2026</t>
  </si>
  <si>
    <t>Sistema de Gestão de Estoque  •  v4.0</t>
  </si>
  <si>
    <t>📋 ESTRUTURA DA PLANILHA</t>
  </si>
  <si>
    <t>📊 Dashboard</t>
  </si>
  <si>
    <t>Visão executiva: KPIs, gráficos e alertas críticos. Atualiza automaticamente.</t>
  </si>
  <si>
    <t>📦 Estoque Atual</t>
  </si>
  <si>
    <t>Saldo em tempo real por material com cálculo de consumo médio, dias até zerar e ponto de reposição.</t>
  </si>
  <si>
    <t>📝 Movimentações</t>
  </si>
  <si>
    <t>Registro de todas as entradas e saídas. Use as listas suspensas para evitar erros.</t>
  </si>
  <si>
    <t>👥 Cad. Colaboradores</t>
  </si>
  <si>
    <t>Cadastro centralizado de quem retira materiais. Adicione ou desative aqui.</t>
  </si>
  <si>
    <t>🗂️ Cad. Materiais</t>
  </si>
  <si>
    <t>Fonte única de verdade dos materiais: unidade, custo, fornecedor, lead time.</t>
  </si>
  <si>
    <t>⚙️ Listas (oculta)</t>
  </si>
  <si>
    <t>Suporte interno para validações. Não editar.</t>
  </si>
  <si>
    <t>✏️ COMO USAR</t>
  </si>
  <si>
    <t>➕ Registrar movimento</t>
  </si>
  <si>
    <t>Vá para a aba 'Movimentações' e preencha uma nova linha. As listas suspensas garantem consistência.</t>
  </si>
  <si>
    <t>🆕 Adicionar material</t>
  </si>
  <si>
    <t>Cadastre na aba 'Cad. Materiais' (próxima linha vazia). A planilha reconhece automaticamente em todas as outras abas.</t>
  </si>
  <si>
    <t>🆕 Adicionar colaborador</t>
  </si>
  <si>
    <t>Cadastre na aba 'Cad. Colaboradores'. Aparecerá imediatamente nas listas suspensas.</t>
  </si>
  <si>
    <t>🚫 Desativar item</t>
  </si>
  <si>
    <t>Em vez de apagar, mude a coluna 'Ativo?' para 'Não'. Isso preserva o histórico e remove das listas ativas.</t>
  </si>
  <si>
    <t>📈 Ler o Dashboard</t>
  </si>
  <si>
    <t>KPIs no topo, gráficos no meio, lista de alertas embaixo. Tudo recalcula sozinho.</t>
  </si>
  <si>
    <t>⚠️ Alertas de estoque</t>
  </si>
  <si>
    <t>A coluna Status mostra 4 níveis: Sem Estoque (vermelho), Abaixo do Mín. (amarelo), Estoque Baixo (laranja) e Normal (verde).</t>
  </si>
  <si>
    <t>📊 INDICADORES CALCULADOS</t>
  </si>
  <si>
    <t>Consumo Médio Mensal</t>
  </si>
  <si>
    <t>Total de saídas dividido pelo número de meses ativos.</t>
  </si>
  <si>
    <t>Consumo Médio Diário</t>
  </si>
  <si>
    <t>Saídas totais / dias decorridos no ano. Base para previsão.</t>
  </si>
  <si>
    <t>Dias até Zerar</t>
  </si>
  <si>
    <t>Estoque atual ÷ consumo diário. Se ≤ lead time, é hora de comprar.</t>
  </si>
  <si>
    <t>Ponto de Reposição</t>
  </si>
  <si>
    <t>(Consumo diário × lead time do fornecedor) + estoque mínimo de segurança.</t>
  </si>
  <si>
    <t>Valor em Estoque (R$)</t>
  </si>
  <si>
    <t>Estoque atual × custo unitário. Total no Dashboard.</t>
  </si>
  <si>
    <t>Última Movimentação</t>
  </si>
  <si>
    <t>Data do último registro. Material 'parado' há muito tempo merece revisão.</t>
  </si>
  <si>
    <t>✅ Compatível com Excel 2016+, Microsoft 365, Google Sheets, LibreOffice  •  Dúvidas? Entre em contato com a equipe de Compras</t>
  </si>
  <si>
    <t>📊  DASHBOARD — CONTROLE DE MATERIAL 2026</t>
  </si>
  <si>
    <t>📦 Materiais Cadastrados</t>
  </si>
  <si>
    <t>💰 Valor em Estoque (R$)</t>
  </si>
  <si>
    <t>⚠ Sem Estoque</t>
  </si>
  <si>
    <t>⬇ Abaixo do Mín.</t>
  </si>
  <si>
    <t>📝 Movim. 2026</t>
  </si>
  <si>
    <t>📅  MOVIMENTAÇÕES POR MÊS</t>
  </si>
  <si>
    <t>📦  TOP 10 MATERIAIS MAIS CONSUMIDOS</t>
  </si>
  <si>
    <t>🚨  ALERTAS DE COMPRA URGENTE</t>
  </si>
  <si>
    <t>Mês</t>
  </si>
  <si>
    <t>Entradas</t>
  </si>
  <si>
    <t>Saídas</t>
  </si>
  <si>
    <t>Saldo</t>
  </si>
  <si>
    <t>#</t>
  </si>
  <si>
    <t>Material</t>
  </si>
  <si>
    <t>Estoque Atual</t>
  </si>
  <si>
    <t>Atual</t>
  </si>
  <si>
    <t>Mín.</t>
  </si>
  <si>
    <t>Status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</si>
  <si>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</si>
  <si>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</si>
  <si>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</si>
  <si>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</si>
  <si>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</si>
  <si>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</si>
  <si>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</si>
  <si>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</si>
  <si>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</si>
  <si>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</si>
  <si>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</si>
  <si>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</si>
  <si>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</si>
  <si>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👥  COLABORADORES — RETIRADAS 2026</t>
  </si>
  <si>
    <t>Colaborador</t>
  </si>
  <si>
    <t>Departamento</t>
  </si>
  <si>
    <t>Itens Únicos</t>
  </si>
  <si>
    <t>Últ. Retirada</t>
  </si>
  <si>
    <t>Amanda Silva</t>
  </si>
  <si>
    <t>André Souza</t>
  </si>
  <si>
    <t>Ariane Costa</t>
  </si>
  <si>
    <t>Beatriz Lima</t>
  </si>
  <si>
    <t>Camila Rocha</t>
  </si>
  <si>
    <t>Érica Felipe</t>
  </si>
  <si>
    <t>Larissa Mendes</t>
  </si>
  <si>
    <t>Laura Ribeiro</t>
  </si>
  <si>
    <t>Liliana Santos</t>
  </si>
  <si>
    <t>Lucas Pereira</t>
  </si>
  <si>
    <t>Matheus Alves</t>
  </si>
  <si>
    <t>Pedro Cardoso</t>
  </si>
  <si>
    <t>Ronaldo Martins</t>
  </si>
  <si>
    <t>Ronan Oliveira</t>
  </si>
  <si>
    <t>📦  ESTOQUE ATUAL — CÁLCULO AUTOMÁTICO</t>
  </si>
  <si>
    <t>ℹ️ Os dados desta aba são calculados automaticamente. Para alterar custo, mínimo ou lead time, edite 'Cad. Materiais'.</t>
  </si>
  <si>
    <t>Categoria</t>
  </si>
  <si>
    <t>Unidade</t>
  </si>
  <si>
    <t>Est. Mín.</t>
  </si>
  <si>
    <t>Est. Inicial</t>
  </si>
  <si>
    <t>Custo Unit.</t>
  </si>
  <si>
    <t>Lead Time</t>
  </si>
  <si>
    <t>Valor em Estoque</t>
  </si>
  <si>
    <t>Consumo/Dia</t>
  </si>
  <si>
    <t>Últ. Movim.</t>
  </si>
  <si>
    <t>📝  MOVIMENTAÇÕES — 2026</t>
  </si>
  <si>
    <t>ℹ️ Use as listas suspensas (Material, Tipo, Colaborador, Departamento). Quantidade deve ser maior que zero.</t>
  </si>
  <si>
    <t>ID</t>
  </si>
  <si>
    <t>Data</t>
  </si>
  <si>
    <t>Tipo</t>
  </si>
  <si>
    <t>Quantidade</t>
  </si>
  <si>
    <t>Observação</t>
  </si>
  <si>
    <t>Registrado por</t>
  </si>
  <si>
    <t>Resma de papel A4</t>
  </si>
  <si>
    <t>Saída</t>
  </si>
  <si>
    <t>Administrativo</t>
  </si>
  <si>
    <t>Clips</t>
  </si>
  <si>
    <t>Caneta Azul</t>
  </si>
  <si>
    <t>Envelope Janelado</t>
  </si>
  <si>
    <t>Elástico</t>
  </si>
  <si>
    <t>Envelope Pardo</t>
  </si>
  <si>
    <t>25% da caixa</t>
  </si>
  <si>
    <t>Entrada</t>
  </si>
  <si>
    <t>Compras</t>
  </si>
  <si>
    <t>Reposição mensal</t>
  </si>
  <si>
    <t>Operacional</t>
  </si>
  <si>
    <t>Reposição</t>
  </si>
  <si>
    <t>Grampeador</t>
  </si>
  <si>
    <t>Novo lote</t>
  </si>
  <si>
    <t>Bloco de notas</t>
  </si>
  <si>
    <t>Bobina</t>
  </si>
  <si>
    <t>Grampo normal</t>
  </si>
  <si>
    <t>🗂️  CADASTRO DE MATERIAIS</t>
  </si>
  <si>
    <t>ℹ️ Para adicionar material: preencha uma nova linha. Para desativar: mude 'Ativo?' para 'Não'.</t>
  </si>
  <si>
    <t>Estoque Mínimo</t>
  </si>
  <si>
    <t>Estoque Inicial Jan</t>
  </si>
  <si>
    <t>Custo Unit. (R$)</t>
  </si>
  <si>
    <t>Lead Time (dias)</t>
  </si>
  <si>
    <t>Fornecedor</t>
  </si>
  <si>
    <t>Papel/Impressão</t>
  </si>
  <si>
    <t>Papelaria Central</t>
  </si>
  <si>
    <t>Envelopes</t>
  </si>
  <si>
    <t>Distribuidora Office</t>
  </si>
  <si>
    <t>Caixa</t>
  </si>
  <si>
    <t>Escritório</t>
  </si>
  <si>
    <t>Post-IT</t>
  </si>
  <si>
    <t>Marcador de texto</t>
  </si>
  <si>
    <t>Cola</t>
  </si>
  <si>
    <t>Tubo</t>
  </si>
  <si>
    <t>Grampo 23/10</t>
  </si>
  <si>
    <t>Pacote</t>
  </si>
  <si>
    <t>Durex grande</t>
  </si>
  <si>
    <t>Durex pequeno</t>
  </si>
  <si>
    <t>Fita isolante</t>
  </si>
  <si>
    <t>Manutenção</t>
  </si>
  <si>
    <t>Casa Pintura</t>
  </si>
  <si>
    <t>Nota promissória</t>
  </si>
  <si>
    <t>Financeiro</t>
  </si>
  <si>
    <t>Gráfica Real</t>
  </si>
  <si>
    <t>Bateria</t>
  </si>
  <si>
    <t>Eletrônico</t>
  </si>
  <si>
    <t>Eletrônica Sul</t>
  </si>
  <si>
    <t>Pilhas</t>
  </si>
  <si>
    <t>Cola bastão</t>
  </si>
  <si>
    <t>Régua</t>
  </si>
  <si>
    <t>Caneta Vermelha</t>
  </si>
  <si>
    <t>Tesoura</t>
  </si>
  <si>
    <t>Papel A3</t>
  </si>
  <si>
    <t>Resma</t>
  </si>
  <si>
    <t>👥  CADASTRO DE COLABORADORES</t>
  </si>
  <si>
    <t>ℹ️ Para adicionar: preencha uma nova linha. Para desativar: mude 'Ativo?' para 'Não' (preserva o histórico).</t>
  </si>
  <si>
    <t>Nome</t>
  </si>
  <si>
    <t>E-mail</t>
  </si>
  <si>
    <t>Telefone</t>
  </si>
  <si>
    <t>Ativo?</t>
  </si>
  <si>
    <t>amanda@empresa.com</t>
  </si>
  <si>
    <t>(21) 99000-0001</t>
  </si>
  <si>
    <t>Sim</t>
  </si>
  <si>
    <t>andre@empresa.com</t>
  </si>
  <si>
    <t>(21) 99000-0002</t>
  </si>
  <si>
    <t>ariane@empresa.com</t>
  </si>
  <si>
    <t>(21) 99000-0003</t>
  </si>
  <si>
    <t>beatriz@empresa.com</t>
  </si>
  <si>
    <t>(21) 99000-0004</t>
  </si>
  <si>
    <t>camila@empresa.com</t>
  </si>
  <si>
    <t>(21) 99000-0005</t>
  </si>
  <si>
    <t>Não</t>
  </si>
  <si>
    <t>erica@empresa.com</t>
  </si>
  <si>
    <t>(21) 99000-0006</t>
  </si>
  <si>
    <t>larissa@empresa.com</t>
  </si>
  <si>
    <t>(21) 99000-0007</t>
  </si>
  <si>
    <t>laura@empresa.com</t>
  </si>
  <si>
    <t>(21) 99000-0008</t>
  </si>
  <si>
    <t>liliana@empresa.com</t>
  </si>
  <si>
    <t>(21) 99000-0009</t>
  </si>
  <si>
    <t>lucas@empresa.com</t>
  </si>
  <si>
    <t>(21) 99000-0010</t>
  </si>
  <si>
    <t>matheus.alves@empresa.com</t>
  </si>
  <si>
    <t>(21) 99000-0011</t>
  </si>
  <si>
    <t>pedro@empresa.com</t>
  </si>
  <si>
    <t>(21) 99000-0012</t>
  </si>
  <si>
    <t>ronaldo@empresa.com</t>
  </si>
  <si>
    <t>(21) 99000-0013</t>
  </si>
  <si>
    <t>ronan@empresa.com</t>
  </si>
  <si>
    <t>(21) 99000-0014</t>
  </si>
  <si>
    <t>Tipo Mov.</t>
  </si>
  <si>
    <t>RH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</si>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</sst>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&quot; dias&quot;"/>
    <numFmt numFmtId="166" formatCode="0.00000"/>
    <numFmt numFmtId="167" formatCode="0.000000"/>
  </numFmts>
  <fonts count="31" x14ac:knownFonts="1">
    <font>
      <sz val="11"/>
      <color theme="1"/>
      <name val="Calibri"/>
      <family val="2"/>
      <scheme val="minor"/>
    </font>
    <font>
      <b/>
      <sz val="22"/>
      <color rgb="FF0F2D52"/>
      <name val="Calibri"/>
    </font>
    <font>
      <i/>
      <sz val="11"/>
      <color rgb="FF495057"/>
      <name val="Calibri"/>
    </font>
    <font>
      <b/>
      <sz val="14"/>
      <color rgb="FFFFFFFF"/>
      <name val="Calibri"/>
    </font>
    <font>
      <b/>
      <sz val="11"/>
      <color rgb="FF0F2D52"/>
      <name val="Calibri"/>
    </font>
    <font>
      <sz val="10"/>
      <color rgb="FF212529"/>
      <name val="Calibri"/>
    </font>
    <font>
      <b/>
      <sz val="10"/>
      <color rgb="FF0F2D52"/>
      <name val="Calibri"/>
    </font>
    <font>
      <b/>
      <sz val="10"/>
      <color rgb="FF1F4E79"/>
      <name val="Calibri"/>
    </font>
    <font>
      <i/>
      <sz val="9"/>
      <color rgb="FF495057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sz val="10"/>
      <color rgb="FF495057"/>
      <name val="Calibri"/>
    </font>
    <font>
      <b/>
      <sz val="10"/>
      <color rgb="FF212529"/>
      <name val="Calibri"/>
    </font>
    <font>
      <sz val="10"/>
      <color rgb="FF0070C0"/>
      <name val="Calibri"/>
    </font>
    <font>
      <sz val="10"/>
      <color rgb="FF1F4E79"/>
      <name val="Calibri"/>
    </font>
    <font>
      <b/>
      <sz val="10"/>
      <color rgb="FF1E7E34"/>
      <name val="Calibri"/>
    </font>
    <font>
      <b/>
      <sz val="10"/>
      <color rgb="FFA02622"/>
      <name val="Calibri"/>
    </font>
    <font>
      <i/>
      <sz val="10"/>
      <color rgb="FF495057"/>
      <name val="Calibri"/>
    </font>
    <font>
      <sz val="9"/>
      <color rgb="FF495057"/>
      <name val="Calibri"/>
    </font>
    <font>
      <sz val="9"/>
      <color rgb="FF212529"/>
      <name val="Calibri"/>
    </font>
    <font>
      <sz val="8"/>
      <color rgb="FFADB5BD"/>
      <name val="Calibri"/>
    </font>
    <font>
      <b/>
      <sz val="11"/>
      <color rgb="FF1E7E34"/>
      <name val="Calibri"/>
    </font>
    <font>
      <b/>
      <sz val="11"/>
      <color rgb="FFA02622"/>
      <name val="Calibri"/>
    </font>
    <font>
      <b/>
      <sz val="20"/>
      <color rgb="FFFFFFFF"/>
      <name val="Calibri"/>
    </font>
    <font>
      <b/>
      <sz val="10"/>
      <color rgb="FFFFFFFF"/>
      <name val="Calibri"/>
    </font>
    <font>
      <b/>
      <sz val="22"/>
      <color rgb="FFA02622"/>
      <name val="Calibri"/>
    </font>
    <font>
      <b/>
      <sz val="22"/>
      <color rgb="FF806600"/>
      <name val="Calibri"/>
    </font>
    <font>
      <b/>
      <sz val="22"/>
      <color rgb="FF1F4E79"/>
      <name val="Calibri"/>
    </font>
    <font>
      <b/>
      <sz val="13"/>
      <color rgb="FFFFFFFF"/>
      <name val="Calibri"/>
    </font>
    <font>
      <b/>
      <sz val="10"/>
      <color rgb="FF495057"/>
      <name val="Calibri"/>
    </font>
    <font>
      <sz val="10"/>
      <color rgb="FF0F2D5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F2D52"/>
      </patternFill>
    </fill>
    <fill>
      <patternFill patternType="solid">
        <fgColor rgb="FFDDEBF7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1F4E79"/>
      </patternFill>
    </fill>
    <fill>
      <patternFill patternType="solid">
        <fgColor rgb="FFA02622"/>
      </patternFill>
    </fill>
    <fill>
      <patternFill patternType="solid">
        <fgColor rgb="FF806600"/>
      </patternFill>
    </fill>
    <fill>
      <patternFill patternType="solid">
        <fgColor rgb="FFFFF2CC"/>
      </patternFill>
    </fill>
    <fill>
      <patternFill patternType="solid">
        <fgColor rgb="FF49505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F2D52"/>
      </left>
      <right style="medium">
        <color rgb="FF0F2D52"/>
      </right>
      <top style="medium">
        <color rgb="FF0F2D52"/>
      </top>
      <bottom style="medium">
        <color rgb="FF0F2D52"/>
      </bottom>
      <diagonal/>
    </border>
    <border>
      <left/>
      <right/>
      <top style="medium">
        <color rgb="FF0F2D52"/>
      </top>
      <bottom style="medium">
        <color rgb="FF0F2D52"/>
      </bottom>
      <diagonal/>
    </border>
    <border>
      <left/>
      <right style="medium">
        <color rgb="FF0F2D52"/>
      </right>
      <top style="medium">
        <color rgb="FF0F2D52"/>
      </top>
      <bottom style="medium">
        <color rgb="FF0F2D52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4" fillId="1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3" fontId="15" fillId="5" borderId="1" xfId="0" applyNumberFormat="1" applyFont="1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3" fontId="30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3" fontId="15" fillId="4" borderId="1" xfId="0" applyNumberFormat="1" applyFont="1" applyFill="1" applyBorder="1" applyAlignment="1">
      <alignment horizontal="center" vertical="center"/>
    </xf>
    <xf numFmtId="3" fontId="16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3" fontId="30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" fontId="19" fillId="5" borderId="1" xfId="0" applyNumberFormat="1" applyFont="1" applyFill="1" applyBorder="1" applyAlignment="1">
      <alignment horizontal="center" vertical="center"/>
    </xf>
    <xf numFmtId="14" fontId="18" fillId="5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4" fontId="18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right" vertical="center"/>
    </xf>
    <xf numFmtId="165" fontId="19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3" fontId="18" fillId="5" borderId="1" xfId="0" applyNumberFormat="1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4" fontId="18" fillId="4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1" fontId="11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3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right" vertical="center"/>
    </xf>
    <xf numFmtId="1" fontId="13" fillId="5" borderId="1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right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" fontId="11" fillId="5" borderId="7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12" fillId="5" borderId="7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center" vertical="center"/>
    </xf>
    <xf numFmtId="3" fontId="5" fillId="5" borderId="7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8" fillId="10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left" vertical="center"/>
    </xf>
    <xf numFmtId="0" fontId="27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64" fontId="1" fillId="3" borderId="4" xfId="0" applyNumberFormat="1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6" fillId="1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4" fillId="11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b/>
        <color rgb="FF1E7E34"/>
        <name val="Calibri"/>
      </font>
      <fill>
        <patternFill patternType="solid">
          <fgColor rgb="FFD4EDDA"/>
        </patternFill>
      </fill>
    </dxf>
    <dxf>
      <font>
        <b/>
        <color rgb="FFA02622"/>
        <name val="Calibri"/>
      </font>
      <fill>
        <patternFill patternType="solid">
          <fgColor rgb="FFF8D7DA"/>
        </patternFill>
      </fill>
    </dxf>
    <dxf>
      <font>
        <b/>
        <sz val="10"/>
        <color rgb="FF1E7E34"/>
        <name val="Calibri"/>
      </font>
      <fill>
        <patternFill patternType="solid">
          <fgColor rgb="FFD4EDDA"/>
        </patternFill>
      </fill>
    </dxf>
    <dxf>
      <font>
        <b/>
        <sz val="10"/>
        <color rgb="FFB45F06"/>
        <name val="Calibri"/>
      </font>
      <fill>
        <patternFill patternType="solid">
          <fgColor rgb="FFFCE5CD"/>
        </patternFill>
      </fill>
    </dxf>
    <dxf>
      <font>
        <b/>
        <sz val="10"/>
        <color rgb="FF806600"/>
        <name val="Calibri"/>
      </font>
      <fill>
        <patternFill patternType="solid">
          <fgColor rgb="FFFFF2CC"/>
        </patternFill>
      </fill>
    </dxf>
    <dxf>
      <font>
        <b/>
        <sz val="10"/>
        <color rgb="FFFFFFFF"/>
        <name val="Calibri"/>
      </font>
      <fill>
        <patternFill patternType="solid">
          <fgColor rgb="FFA026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8"/>
  <sheetViews>
    <sheetView showGridLines="0" tabSelected="1" workbookViewId="0"/>
  </sheetViews>
  <sheetFormatPr defaultRowHeight="15" x14ac:dyDescent="0.25"/>
  <cols>
    <col min="1" max="1" width="2" customWidth="1"/>
    <col min="2" max="2" width="30" customWidth="1"/>
    <col min="3" max="8" width="14" customWidth="1"/>
  </cols>
  <sheetData>
    <row r="1" spans="2:8" ht="60" customHeight="1" x14ac:dyDescent="0.25">
      <c r="B1" s="99" t="s">
        <v>0</v>
      </c>
      <c r="C1" s="97"/>
      <c r="D1" s="97"/>
      <c r="E1" s="97"/>
      <c r="F1" s="97"/>
      <c r="G1" s="97"/>
      <c r="H1" s="97"/>
    </row>
    <row r="2" spans="2:8" ht="21.95" customHeight="1" x14ac:dyDescent="0.25">
      <c r="B2" s="98" t="s">
        <v>1</v>
      </c>
      <c r="C2" s="97"/>
      <c r="D2" s="97"/>
      <c r="E2" s="97"/>
      <c r="F2" s="97"/>
      <c r="G2" s="97"/>
      <c r="H2" s="97"/>
    </row>
    <row r="4" spans="2:8" ht="30" customHeight="1" x14ac:dyDescent="0.25">
      <c r="B4" s="96" t="s">
        <v>2</v>
      </c>
      <c r="C4" s="97"/>
      <c r="D4" s="97"/>
      <c r="E4" s="97"/>
      <c r="F4" s="97"/>
      <c r="G4" s="97"/>
      <c r="H4" s="97"/>
    </row>
    <row r="5" spans="2:8" ht="26.1" customHeight="1" x14ac:dyDescent="0.25">
      <c r="B5" s="1" t="s">
        <v>3</v>
      </c>
      <c r="C5" s="94" t="s">
        <v>4</v>
      </c>
      <c r="D5" s="92"/>
      <c r="E5" s="92"/>
      <c r="F5" s="92"/>
      <c r="G5" s="92"/>
      <c r="H5" s="93"/>
    </row>
    <row r="6" spans="2:8" ht="26.1" customHeight="1" x14ac:dyDescent="0.25">
      <c r="B6" s="1" t="s">
        <v>5</v>
      </c>
      <c r="C6" s="94" t="s">
        <v>6</v>
      </c>
      <c r="D6" s="92"/>
      <c r="E6" s="92"/>
      <c r="F6" s="92"/>
      <c r="G6" s="92"/>
      <c r="H6" s="93"/>
    </row>
    <row r="7" spans="2:8" ht="26.1" customHeight="1" x14ac:dyDescent="0.25">
      <c r="B7" s="1" t="s">
        <v>7</v>
      </c>
      <c r="C7" s="94" t="s">
        <v>8</v>
      </c>
      <c r="D7" s="92"/>
      <c r="E7" s="92"/>
      <c r="F7" s="92"/>
      <c r="G7" s="92"/>
      <c r="H7" s="93"/>
    </row>
    <row r="8" spans="2:8" ht="26.1" customHeight="1" x14ac:dyDescent="0.25">
      <c r="B8" s="1" t="s">
        <v>9</v>
      </c>
      <c r="C8" s="94" t="s">
        <v>10</v>
      </c>
      <c r="D8" s="92"/>
      <c r="E8" s="92"/>
      <c r="F8" s="92"/>
      <c r="G8" s="92"/>
      <c r="H8" s="93"/>
    </row>
    <row r="9" spans="2:8" ht="26.1" customHeight="1" x14ac:dyDescent="0.25">
      <c r="B9" s="1" t="s">
        <v>11</v>
      </c>
      <c r="C9" s="94" t="s">
        <v>12</v>
      </c>
      <c r="D9" s="92"/>
      <c r="E9" s="92"/>
      <c r="F9" s="92"/>
      <c r="G9" s="92"/>
      <c r="H9" s="93"/>
    </row>
    <row r="10" spans="2:8" ht="26.1" customHeight="1" x14ac:dyDescent="0.25">
      <c r="B10" s="1" t="s">
        <v>13</v>
      </c>
      <c r="C10" s="94" t="s">
        <v>14</v>
      </c>
      <c r="D10" s="92"/>
      <c r="E10" s="92"/>
      <c r="F10" s="92"/>
      <c r="G10" s="92"/>
      <c r="H10" s="93"/>
    </row>
    <row r="12" spans="2:8" ht="30" customHeight="1" x14ac:dyDescent="0.25">
      <c r="B12" s="96" t="s">
        <v>15</v>
      </c>
      <c r="C12" s="97"/>
      <c r="D12" s="97"/>
      <c r="E12" s="97"/>
      <c r="F12" s="97"/>
      <c r="G12" s="97"/>
      <c r="H12" s="97"/>
    </row>
    <row r="13" spans="2:8" ht="32.1" customHeight="1" x14ac:dyDescent="0.25">
      <c r="B13" s="2" t="s">
        <v>16</v>
      </c>
      <c r="C13" s="95" t="s">
        <v>17</v>
      </c>
      <c r="D13" s="92"/>
      <c r="E13" s="92"/>
      <c r="F13" s="92"/>
      <c r="G13" s="92"/>
      <c r="H13" s="93"/>
    </row>
    <row r="14" spans="2:8" ht="32.1" customHeight="1" x14ac:dyDescent="0.25">
      <c r="B14" s="2" t="s">
        <v>18</v>
      </c>
      <c r="C14" s="95" t="s">
        <v>19</v>
      </c>
      <c r="D14" s="92"/>
      <c r="E14" s="92"/>
      <c r="F14" s="92"/>
      <c r="G14" s="92"/>
      <c r="H14" s="93"/>
    </row>
    <row r="15" spans="2:8" ht="32.1" customHeight="1" x14ac:dyDescent="0.25">
      <c r="B15" s="2" t="s">
        <v>20</v>
      </c>
      <c r="C15" s="95" t="s">
        <v>21</v>
      </c>
      <c r="D15" s="92"/>
      <c r="E15" s="92"/>
      <c r="F15" s="92"/>
      <c r="G15" s="92"/>
      <c r="H15" s="93"/>
    </row>
    <row r="16" spans="2:8" ht="32.1" customHeight="1" x14ac:dyDescent="0.25">
      <c r="B16" s="2" t="s">
        <v>22</v>
      </c>
      <c r="C16" s="95" t="s">
        <v>23</v>
      </c>
      <c r="D16" s="92"/>
      <c r="E16" s="92"/>
      <c r="F16" s="92"/>
      <c r="G16" s="92"/>
      <c r="H16" s="93"/>
    </row>
    <row r="17" spans="2:8" ht="32.1" customHeight="1" x14ac:dyDescent="0.25">
      <c r="B17" s="2" t="s">
        <v>24</v>
      </c>
      <c r="C17" s="95" t="s">
        <v>25</v>
      </c>
      <c r="D17" s="92"/>
      <c r="E17" s="92"/>
      <c r="F17" s="92"/>
      <c r="G17" s="92"/>
      <c r="H17" s="93"/>
    </row>
    <row r="18" spans="2:8" ht="32.1" customHeight="1" x14ac:dyDescent="0.25">
      <c r="B18" s="2" t="s">
        <v>26</v>
      </c>
      <c r="C18" s="95" t="s">
        <v>27</v>
      </c>
      <c r="D18" s="92"/>
      <c r="E18" s="92"/>
      <c r="F18" s="92"/>
      <c r="G18" s="92"/>
      <c r="H18" s="93"/>
    </row>
    <row r="20" spans="2:8" ht="30" customHeight="1" x14ac:dyDescent="0.25">
      <c r="B20" s="96" t="s">
        <v>28</v>
      </c>
      <c r="C20" s="97"/>
      <c r="D20" s="97"/>
      <c r="E20" s="97"/>
      <c r="F20" s="97"/>
      <c r="G20" s="97"/>
      <c r="H20" s="97"/>
    </row>
    <row r="21" spans="2:8" ht="30" customHeight="1" x14ac:dyDescent="0.25">
      <c r="B21" s="3" t="s">
        <v>29</v>
      </c>
      <c r="C21" s="91" t="s">
        <v>30</v>
      </c>
      <c r="D21" s="92"/>
      <c r="E21" s="92"/>
      <c r="F21" s="92"/>
      <c r="G21" s="92"/>
      <c r="H21" s="93"/>
    </row>
    <row r="22" spans="2:8" ht="30" customHeight="1" x14ac:dyDescent="0.25">
      <c r="B22" s="3" t="s">
        <v>31</v>
      </c>
      <c r="C22" s="91" t="s">
        <v>32</v>
      </c>
      <c r="D22" s="92"/>
      <c r="E22" s="92"/>
      <c r="F22" s="92"/>
      <c r="G22" s="92"/>
      <c r="H22" s="93"/>
    </row>
    <row r="23" spans="2:8" ht="30" customHeight="1" x14ac:dyDescent="0.25">
      <c r="B23" s="3" t="s">
        <v>33</v>
      </c>
      <c r="C23" s="91" t="s">
        <v>34</v>
      </c>
      <c r="D23" s="92"/>
      <c r="E23" s="92"/>
      <c r="F23" s="92"/>
      <c r="G23" s="92"/>
      <c r="H23" s="93"/>
    </row>
    <row r="24" spans="2:8" ht="30" customHeight="1" x14ac:dyDescent="0.25">
      <c r="B24" s="3" t="s">
        <v>35</v>
      </c>
      <c r="C24" s="91" t="s">
        <v>36</v>
      </c>
      <c r="D24" s="92"/>
      <c r="E24" s="92"/>
      <c r="F24" s="92"/>
      <c r="G24" s="92"/>
      <c r="H24" s="93"/>
    </row>
    <row r="25" spans="2:8" ht="30" customHeight="1" x14ac:dyDescent="0.25">
      <c r="B25" s="3" t="s">
        <v>37</v>
      </c>
      <c r="C25" s="91" t="s">
        <v>38</v>
      </c>
      <c r="D25" s="92"/>
      <c r="E25" s="92"/>
      <c r="F25" s="92"/>
      <c r="G25" s="92"/>
      <c r="H25" s="93"/>
    </row>
    <row r="26" spans="2:8" ht="30" customHeight="1" x14ac:dyDescent="0.25">
      <c r="B26" s="3" t="s">
        <v>39</v>
      </c>
      <c r="C26" s="91" t="s">
        <v>40</v>
      </c>
      <c r="D26" s="92"/>
      <c r="E26" s="92"/>
      <c r="F26" s="92"/>
      <c r="G26" s="92"/>
      <c r="H26" s="93"/>
    </row>
    <row r="28" spans="2:8" ht="24" customHeight="1" x14ac:dyDescent="0.25">
      <c r="B28" s="100" t="s">
        <v>41</v>
      </c>
      <c r="C28" s="97"/>
      <c r="D28" s="97"/>
      <c r="E28" s="97"/>
      <c r="F28" s="97"/>
      <c r="G28" s="97"/>
      <c r="H28" s="97"/>
    </row>
  </sheetData>
  <mergeCells count="24">
    <mergeCell ref="B1:H1"/>
    <mergeCell ref="C14:H14"/>
    <mergeCell ref="C5:H5"/>
    <mergeCell ref="C26:H26"/>
    <mergeCell ref="B28:H28"/>
    <mergeCell ref="B2:H2"/>
    <mergeCell ref="C18:H18"/>
    <mergeCell ref="C15:H15"/>
    <mergeCell ref="C6:H6"/>
    <mergeCell ref="C24:H24"/>
    <mergeCell ref="B4:H4"/>
    <mergeCell ref="C23:H23"/>
    <mergeCell ref="C8:H8"/>
    <mergeCell ref="C17:H17"/>
    <mergeCell ref="C7:H7"/>
    <mergeCell ref="C13:H13"/>
    <mergeCell ref="B12:H12"/>
    <mergeCell ref="C25:H25"/>
    <mergeCell ref="C10:H10"/>
    <mergeCell ref="C16:H16"/>
    <mergeCell ref="C22:H22"/>
    <mergeCell ref="C9:H9"/>
    <mergeCell ref="B20:H20"/>
    <mergeCell ref="C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showGridLines="0" workbookViewId="0">
      <selection activeCell="C29" sqref="C29"/>
    </sheetView>
  </sheetViews>
  <sheetFormatPr defaultRowHeight="15" x14ac:dyDescent="0.25"/>
  <cols>
    <col min="1" max="1" width="17" customWidth="1"/>
    <col min="2" max="2" width="15" customWidth="1"/>
    <col min="3" max="3" width="12" customWidth="1"/>
    <col min="4" max="4" width="11" customWidth="1"/>
    <col min="5" max="5" width="12" customWidth="1"/>
    <col min="6" max="6" width="4" customWidth="1"/>
    <col min="7" max="7" width="22" customWidth="1"/>
    <col min="8" max="8" width="11" customWidth="1"/>
    <col min="9" max="9" width="12" customWidth="1"/>
    <col min="10" max="10" width="4" customWidth="1"/>
    <col min="11" max="11" width="22" customWidth="1"/>
    <col min="12" max="13" width="9" customWidth="1"/>
    <col min="14" max="14" width="18" customWidth="1"/>
  </cols>
  <sheetData>
    <row r="1" spans="1:15" ht="60" customHeight="1" x14ac:dyDescent="0.25">
      <c r="A1" s="115" t="s">
        <v>42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3" spans="1:15" ht="21.95" customHeight="1" x14ac:dyDescent="0.25">
      <c r="A3" s="109" t="s">
        <v>43</v>
      </c>
      <c r="B3" s="105"/>
      <c r="C3" s="106"/>
      <c r="D3" s="109" t="s">
        <v>44</v>
      </c>
      <c r="E3" s="105"/>
      <c r="F3" s="106"/>
      <c r="G3" s="110" t="s">
        <v>45</v>
      </c>
      <c r="H3" s="105"/>
      <c r="I3" s="106"/>
      <c r="J3" s="114" t="s">
        <v>46</v>
      </c>
      <c r="K3" s="105"/>
      <c r="L3" s="106"/>
      <c r="M3" s="108" t="s">
        <v>47</v>
      </c>
      <c r="N3" s="105"/>
      <c r="O3" s="106"/>
    </row>
    <row r="4" spans="1:15" ht="44.1" customHeight="1" x14ac:dyDescent="0.25">
      <c r="A4" s="113">
        <f>COUNTIF('Cad. Materiais'!$B$4:$B$53,"?*")</f>
        <v>25</v>
      </c>
      <c r="B4" s="105"/>
      <c r="C4" s="106"/>
      <c r="D4" s="107">
        <f>SUM('Estoque Atual'!$K$4:$K$53)</f>
        <v>1039.6999999999998</v>
      </c>
      <c r="E4" s="105"/>
      <c r="F4" s="106"/>
      <c r="G4" s="111">
        <f>COUNTIF('Estoque Atual'!$L$4:$L$53,"⚠ SEM ESTOQUE")</f>
        <v>10</v>
      </c>
      <c r="H4" s="105"/>
      <c r="I4" s="106"/>
      <c r="J4" s="112">
        <f>COUNTIF('Estoque Atual'!$L$4:$L$53,"⬇ ABAIXO DO MÍN.")</f>
        <v>1</v>
      </c>
      <c r="K4" s="105"/>
      <c r="L4" s="106"/>
      <c r="M4" s="104">
        <f>COUNTIF(Movimentações!$A$4:$A$5000,"&gt;0")</f>
        <v>79</v>
      </c>
      <c r="N4" s="105"/>
      <c r="O4" s="106"/>
    </row>
    <row r="5" spans="1:15" ht="14.1" customHeight="1" x14ac:dyDescent="0.25"/>
    <row r="6" spans="1:15" ht="30" customHeight="1" x14ac:dyDescent="0.25">
      <c r="A6" s="103" t="s">
        <v>48</v>
      </c>
      <c r="B6" s="97"/>
      <c r="C6" s="97"/>
      <c r="D6" s="97"/>
      <c r="F6" s="103" t="s">
        <v>49</v>
      </c>
      <c r="G6" s="97"/>
      <c r="H6" s="97"/>
      <c r="I6" s="97"/>
      <c r="K6" s="101" t="s">
        <v>50</v>
      </c>
      <c r="L6" s="97"/>
      <c r="M6" s="97"/>
      <c r="N6" s="97"/>
    </row>
    <row r="7" spans="1:15" ht="26.1" customHeight="1" x14ac:dyDescent="0.25">
      <c r="A7" s="4" t="s">
        <v>51</v>
      </c>
      <c r="B7" s="4" t="s">
        <v>52</v>
      </c>
      <c r="C7" s="4" t="s">
        <v>53</v>
      </c>
      <c r="D7" s="4" t="s">
        <v>54</v>
      </c>
      <c r="F7" s="4" t="s">
        <v>55</v>
      </c>
      <c r="G7" s="4" t="s">
        <v>56</v>
      </c>
      <c r="H7" s="4" t="s">
        <v>53</v>
      </c>
      <c r="I7" s="4" t="s">
        <v>57</v>
      </c>
      <c r="K7" s="4" t="s">
        <v>56</v>
      </c>
      <c r="L7" s="4" t="s">
        <v>58</v>
      </c>
      <c r="M7" s="4" t="s">
        <v>59</v>
      </c>
      <c r="N7" s="4" t="s">
        <v>60</v>
      </c>
    </row>
    <row r="8" spans="1:15" x14ac:dyDescent="0.25">
      <c r="A8" s="5" t="s">
        <v>61</v>
      </c>
      <c r="B8" s="6">
        <f>IFERROR(SUMIFS(Movimentações!$E$4:$E$5000,Movimentações!$B$4:$B$5000,"&gt;="&amp;DATE(2026,1,1),Movimentações!$B$4:$B$5000,"&lt;="&amp;EOMONTH(DATE(2026,1,1),0),Movimentações!$D$4:$D$5000,"Entrada"),0)</f>
        <v>16</v>
      </c>
      <c r="C8" s="7">
        <f>IFERROR(SUMIFS(Movimentações!$E$4:$E$5000,Movimentações!$B$4:$B$5000,"&gt;="&amp;DATE(2026,1,1),Movimentações!$B$4:$B$5000,"&lt;="&amp;EOMONTH(DATE(2026,1,1),0),Movimentações!$D$4:$D$5000,"Saída"),0)</f>
        <v>72</v>
      </c>
      <c r="D8" s="8">
        <f t="shared" ref="D8:D19" si="0">B8-C8</f>
        <v>-56</v>
      </c>
      <c r="F8" s="9">
        <v>1</v>
      </c>
      <c r="G8" s="5" t="str">
        <f>IFERROR(IF(LARGE('Estoque Atual'!$R$4:$R$53,1)&lt;0,"",INDEX('Estoque Atual'!$A$4:$A$53,MATCH(LARGE('Estoque Atual'!$R$4:$R$53,1),'Estoque Atual'!$R$4:$R$53,0))),"")</f>
        <v>Envelope Janelado</v>
      </c>
      <c r="H8" s="7">
        <f>IFERROR(IF(LARGE('Estoque Atual'!$R$4:$R$53,1)&lt;0,"",INDEX('Estoque Atual'!$I$4:$I$53,MATCH(LARGE('Estoque Atual'!$R$4:$R$53,1),'Estoque Atual'!$R$4:$R$53,0))),"")</f>
        <v>198</v>
      </c>
      <c r="I8" s="10">
        <f>IFERROR(IF(LARGE('Estoque Atual'!$R$4:$R$53,1)&lt;0,"",INDEX('Estoque Atual'!$J$4:$J$53,MATCH(LARGE('Estoque Atual'!$R$4:$R$53,1),'Estoque Atual'!$R$4:$R$53,0))),"")</f>
        <v>302</v>
      </c>
      <c r="K8" s="5" t="str">
        <f>IFERROR(IF(SMALL('Estoque Atual'!$Q$4:$Q$53,1)&gt;=999999,"",INDEX('Estoque Atual'!$A$4:$A$53,MATCH(SMALL('Estoque Atual'!$Q$4:$Q$53,1),'Estoque Atual'!$Q$4:$Q$53,0))),"")</f>
        <v>Caneta Vermelha</v>
      </c>
      <c r="L8" s="7">
        <f>IFERROR(IF(SMALL('Estoque Atual'!$Q$4:$Q$53,1)&gt;=999999,"",INDEX('Estoque Atual'!$J$4:$J$53,MATCH(SMALL('Estoque Atual'!$Q$4:$Q$53,1),'Estoque Atual'!$Q$4:$Q$53,0))),"")</f>
        <v>0</v>
      </c>
      <c r="M8" s="11">
        <f>IFERROR(IF(SMALL('Estoque Atual'!$Q$4:$Q$53,1)&gt;=999999,"",INDEX('Estoque Atual'!$D$4:$D$53,MATCH(SMALL('Estoque Atual'!$Q$4:$Q$53,1),'Estoque Atual'!$Q$4:$Q$53,0))),"")</f>
        <v>5</v>
      </c>
      <c r="N8" s="12" t="str">
        <f>IFERROR(IF(SMALL('Estoque Atual'!$Q$4:$Q$53,1)&gt;=999999,"",INDEX('Estoque Atual'!$L$4:$L$53,MATCH(SMALL('Estoque Atual'!$Q$4:$Q$53,1),'Estoque Atual'!$Q$4:$Q$53,0))),"")</f>
        <v>⚠ SEM ESTOQUE</v>
      </c>
    </row>
    <row r="9" spans="1:15" x14ac:dyDescent="0.25">
      <c r="A9" s="13" t="s">
        <v>62</v>
      </c>
      <c r="B9" s="14">
        <f>IFERROR(SUMIFS(Movimentações!$E$4:$E$5000,Movimentações!$B$4:$B$5000,"&gt;="&amp;DATE(2026,2,1),Movimentações!$B$4:$B$5000,"&lt;="&amp;EOMONTH(DATE(2026,2,1),0),Movimentações!$D$4:$D$5000,"Entrada"),0)</f>
        <v>213</v>
      </c>
      <c r="C9" s="15">
        <f>IFERROR(SUMIFS(Movimentações!$E$4:$E$5000,Movimentações!$B$4:$B$5000,"&gt;="&amp;DATE(2026,2,1),Movimentações!$B$4:$B$5000,"&lt;="&amp;EOMONTH(DATE(2026,2,1),0),Movimentações!$D$4:$D$5000,"Saída"),0)</f>
        <v>93</v>
      </c>
      <c r="D9" s="16">
        <f t="shared" si="0"/>
        <v>120</v>
      </c>
      <c r="F9" s="17">
        <v>2</v>
      </c>
      <c r="G9" s="13" t="str">
        <f>IFERROR(IF(LARGE('Estoque Atual'!$R$4:$R$53,2)&lt;0,"",INDEX('Estoque Atual'!$A$4:$A$53,MATCH(LARGE('Estoque Atual'!$R$4:$R$53,2),'Estoque Atual'!$R$4:$R$53,0))),"")</f>
        <v>Resma de papel A4</v>
      </c>
      <c r="H9" s="15">
        <f>IFERROR(IF(LARGE('Estoque Atual'!$R$4:$R$53,2)&lt;0,"",INDEX('Estoque Atual'!$I$4:$I$53,MATCH(LARGE('Estoque Atual'!$R$4:$R$53,2),'Estoque Atual'!$R$4:$R$53,0))),"")</f>
        <v>56</v>
      </c>
      <c r="I9" s="18">
        <f>IFERROR(IF(LARGE('Estoque Atual'!$R$4:$R$53,2)&lt;0,"",INDEX('Estoque Atual'!$J$4:$J$53,MATCH(LARGE('Estoque Atual'!$R$4:$R$53,2),'Estoque Atual'!$R$4:$R$53,0))),"")</f>
        <v>6</v>
      </c>
      <c r="K9" s="13" t="str">
        <f>IFERROR(IF(SMALL('Estoque Atual'!$Q$4:$Q$53,2)&gt;=999999,"",INDEX('Estoque Atual'!$A$4:$A$53,MATCH(SMALL('Estoque Atual'!$Q$4:$Q$53,2),'Estoque Atual'!$Q$4:$Q$53,0))),"")</f>
        <v>Pilhas</v>
      </c>
      <c r="L9" s="15">
        <f>IFERROR(IF(SMALL('Estoque Atual'!$Q$4:$Q$53,2)&gt;=999999,"",INDEX('Estoque Atual'!$J$4:$J$53,MATCH(SMALL('Estoque Atual'!$Q$4:$Q$53,2),'Estoque Atual'!$Q$4:$Q$53,0))),"")</f>
        <v>0</v>
      </c>
      <c r="M9" s="19">
        <f>IFERROR(IF(SMALL('Estoque Atual'!$Q$4:$Q$53,2)&gt;=999999,"",INDEX('Estoque Atual'!$D$4:$D$53,MATCH(SMALL('Estoque Atual'!$Q$4:$Q$53,2),'Estoque Atual'!$Q$4:$Q$53,0))),"")</f>
        <v>4</v>
      </c>
      <c r="N9" s="20" t="str">
        <f>IFERROR(IF(SMALL('Estoque Atual'!$Q$4:$Q$53,2)&gt;=999999,"",INDEX('Estoque Atual'!$L$4:$L$53,MATCH(SMALL('Estoque Atual'!$Q$4:$Q$53,2),'Estoque Atual'!$Q$4:$Q$53,0))),"")</f>
        <v>⚠ SEM ESTOQUE</v>
      </c>
    </row>
    <row r="10" spans="1:15" x14ac:dyDescent="0.25">
      <c r="A10" s="5" t="s">
        <v>63</v>
      </c>
      <c r="B10" s="6">
        <f>IFERROR(SUMIFS(Movimentações!$E$4:$E$5000,Movimentações!$B$4:$B$5000,"&gt;="&amp;DATE(2026,3,1),Movimentações!$B$4:$B$5000,"&lt;="&amp;EOMONTH(DATE(2026,3,1),0),Movimentações!$D$4:$D$5000,"Entrada"),0)</f>
        <v>78</v>
      </c>
      <c r="C10" s="7">
        <f>IFERROR(SUMIFS(Movimentações!$E$4:$E$5000,Movimentações!$B$4:$B$5000,"&gt;="&amp;DATE(2026,3,1),Movimentações!$B$4:$B$5000,"&lt;="&amp;EOMONTH(DATE(2026,3,1),0),Movimentações!$D$4:$D$5000,"Saída"),0)</f>
        <v>82</v>
      </c>
      <c r="D10" s="8">
        <f t="shared" si="0"/>
        <v>-4</v>
      </c>
      <c r="F10" s="9">
        <v>3</v>
      </c>
      <c r="G10" s="5" t="str">
        <f>IFERROR(IF(LARGE('Estoque Atual'!$R$4:$R$53,3)&lt;0,"",INDEX('Estoque Atual'!$A$4:$A$53,MATCH(LARGE('Estoque Atual'!$R$4:$R$53,3),'Estoque Atual'!$R$4:$R$53,0))),"")</f>
        <v>Envelope Pardo</v>
      </c>
      <c r="H10" s="7">
        <f>IFERROR(IF(LARGE('Estoque Atual'!$R$4:$R$53,3)&lt;0,"",INDEX('Estoque Atual'!$I$4:$I$53,MATCH(LARGE('Estoque Atual'!$R$4:$R$53,3),'Estoque Atual'!$R$4:$R$53,0))),"")</f>
        <v>20</v>
      </c>
      <c r="I10" s="10">
        <f>IFERROR(IF(LARGE('Estoque Atual'!$R$4:$R$53,3)&lt;0,"",INDEX('Estoque Atual'!$J$4:$J$53,MATCH(LARGE('Estoque Atual'!$R$4:$R$53,3),'Estoque Atual'!$R$4:$R$53,0))),"")</f>
        <v>185</v>
      </c>
      <c r="K10" s="5" t="str">
        <f>IFERROR(IF(SMALL('Estoque Atual'!$Q$4:$Q$53,3)&gt;=999999,"",INDEX('Estoque Atual'!$A$4:$A$53,MATCH(SMALL('Estoque Atual'!$Q$4:$Q$53,3),'Estoque Atual'!$Q$4:$Q$53,0))),"")</f>
        <v>Post-IT</v>
      </c>
      <c r="L10" s="7">
        <f>IFERROR(IF(SMALL('Estoque Atual'!$Q$4:$Q$53,3)&gt;=999999,"",INDEX('Estoque Atual'!$J$4:$J$53,MATCH(SMALL('Estoque Atual'!$Q$4:$Q$53,3),'Estoque Atual'!$Q$4:$Q$53,0))),"")</f>
        <v>0</v>
      </c>
      <c r="M10" s="11">
        <f>IFERROR(IF(SMALL('Estoque Atual'!$Q$4:$Q$53,3)&gt;=999999,"",INDEX('Estoque Atual'!$D$4:$D$53,MATCH(SMALL('Estoque Atual'!$Q$4:$Q$53,3),'Estoque Atual'!$Q$4:$Q$53,0))),"")</f>
        <v>2</v>
      </c>
      <c r="N10" s="12" t="str">
        <f>IFERROR(IF(SMALL('Estoque Atual'!$Q$4:$Q$53,3)&gt;=999999,"",INDEX('Estoque Atual'!$L$4:$L$53,MATCH(SMALL('Estoque Atual'!$Q$4:$Q$53,3),'Estoque Atual'!$Q$4:$Q$53,0))),"")</f>
        <v>⚠ SEM ESTOQUE</v>
      </c>
    </row>
    <row r="11" spans="1:15" x14ac:dyDescent="0.25">
      <c r="A11" s="13" t="s">
        <v>64</v>
      </c>
      <c r="B11" s="14">
        <f>IFERROR(SUMIFS(Movimentações!$E$4:$E$5000,Movimentações!$B$4:$B$5000,"&gt;="&amp;DATE(2026,4,1),Movimentações!$B$4:$B$5000,"&lt;="&amp;EOMONTH(DATE(2026,4,1),0),Movimentações!$D$4:$D$5000,"Entrada"),0)</f>
        <v>15</v>
      </c>
      <c r="C11" s="15">
        <f>IFERROR(SUMIFS(Movimentações!$E$4:$E$5000,Movimentações!$B$4:$B$5000,"&gt;="&amp;DATE(2026,4,1),Movimentações!$B$4:$B$5000,"&lt;="&amp;EOMONTH(DATE(2026,4,1),0),Movimentações!$D$4:$D$5000,"Saída"),0)</f>
        <v>23</v>
      </c>
      <c r="D11" s="16">
        <f t="shared" si="0"/>
        <v>-8</v>
      </c>
      <c r="F11" s="17">
        <v>4</v>
      </c>
      <c r="G11" s="13" t="str">
        <f>IFERROR(IF(LARGE('Estoque Atual'!$R$4:$R$53,4)&lt;0,"",INDEX('Estoque Atual'!$A$4:$A$53,MATCH(LARGE('Estoque Atual'!$R$4:$R$53,4),'Estoque Atual'!$R$4:$R$53,0))),"")</f>
        <v>Caneta Azul</v>
      </c>
      <c r="H11" s="15">
        <f>IFERROR(IF(LARGE('Estoque Atual'!$R$4:$R$53,4)&lt;0,"",INDEX('Estoque Atual'!$I$4:$I$53,MATCH(LARGE('Estoque Atual'!$R$4:$R$53,4),'Estoque Atual'!$R$4:$R$53,0))),"")</f>
        <v>6</v>
      </c>
      <c r="I11" s="18">
        <f>IFERROR(IF(LARGE('Estoque Atual'!$R$4:$R$53,4)&lt;0,"",INDEX('Estoque Atual'!$J$4:$J$53,MATCH(LARGE('Estoque Atual'!$R$4:$R$53,4),'Estoque Atual'!$R$4:$R$53,0))),"")</f>
        <v>44</v>
      </c>
      <c r="K11" s="13" t="str">
        <f>IFERROR(IF(SMALL('Estoque Atual'!$Q$4:$Q$53,4)&gt;=999999,"",INDEX('Estoque Atual'!$A$4:$A$53,MATCH(SMALL('Estoque Atual'!$Q$4:$Q$53,4),'Estoque Atual'!$Q$4:$Q$53,0))),"")</f>
        <v>Marcador de texto</v>
      </c>
      <c r="L11" s="15">
        <f>IFERROR(IF(SMALL('Estoque Atual'!$Q$4:$Q$53,4)&gt;=999999,"",INDEX('Estoque Atual'!$J$4:$J$53,MATCH(SMALL('Estoque Atual'!$Q$4:$Q$53,4),'Estoque Atual'!$Q$4:$Q$53,0))),"")</f>
        <v>0</v>
      </c>
      <c r="M11" s="19">
        <f>IFERROR(IF(SMALL('Estoque Atual'!$Q$4:$Q$53,4)&gt;=999999,"",INDEX('Estoque Atual'!$D$4:$D$53,MATCH(SMALL('Estoque Atual'!$Q$4:$Q$53,4),'Estoque Atual'!$Q$4:$Q$53,0))),"")</f>
        <v>2</v>
      </c>
      <c r="N11" s="20" t="str">
        <f>IFERROR(IF(SMALL('Estoque Atual'!$Q$4:$Q$53,4)&gt;=999999,"",INDEX('Estoque Atual'!$L$4:$L$53,MATCH(SMALL('Estoque Atual'!$Q$4:$Q$53,4),'Estoque Atual'!$Q$4:$Q$53,0))),"")</f>
        <v>⚠ SEM ESTOQUE</v>
      </c>
    </row>
    <row r="12" spans="1:15" x14ac:dyDescent="0.25">
      <c r="A12" s="5" t="s">
        <v>65</v>
      </c>
      <c r="B12" s="6">
        <f>IFERROR(SUMIFS(Movimentações!$E$4:$E$5000,Movimentações!$B$4:$B$5000,"&gt;="&amp;DATE(2026,5,1),Movimentações!$B$4:$B$5000,"&lt;="&amp;EOMONTH(DATE(2026,5,1),0),Movimentações!$D$4:$D$5000,"Entrada"),0)</f>
        <v>0</v>
      </c>
      <c r="C12" s="7">
        <f>IFERROR(SUMIFS(Movimentações!$E$4:$E$5000,Movimentações!$B$4:$B$5000,"&gt;="&amp;DATE(2026,5,1),Movimentações!$B$4:$B$5000,"&lt;="&amp;EOMONTH(DATE(2026,5,1),0),Movimentações!$D$4:$D$5000,"Saída"),0)</f>
        <v>20</v>
      </c>
      <c r="D12" s="8">
        <f t="shared" si="0"/>
        <v>-20</v>
      </c>
      <c r="F12" s="9">
        <v>5</v>
      </c>
      <c r="G12" s="5" t="str">
        <f>IFERROR(IF(LARGE('Estoque Atual'!$R$4:$R$53,5)&lt;0,"",INDEX('Estoque Atual'!$A$4:$A$53,MATCH(LARGE('Estoque Atual'!$R$4:$R$53,5),'Estoque Atual'!$R$4:$R$53,0))),"")</f>
        <v>Elástico</v>
      </c>
      <c r="H12" s="7">
        <f>IFERROR(IF(LARGE('Estoque Atual'!$R$4:$R$53,5)&lt;0,"",INDEX('Estoque Atual'!$I$4:$I$53,MATCH(LARGE('Estoque Atual'!$R$4:$R$53,5),'Estoque Atual'!$R$4:$R$53,0))),"")</f>
        <v>3</v>
      </c>
      <c r="I12" s="10">
        <f>IFERROR(IF(LARGE('Estoque Atual'!$R$4:$R$53,5)&lt;0,"",INDEX('Estoque Atual'!$J$4:$J$53,MATCH(LARGE('Estoque Atual'!$R$4:$R$53,5),'Estoque Atual'!$R$4:$R$53,0))),"")</f>
        <v>9</v>
      </c>
      <c r="K12" s="5" t="str">
        <f>IFERROR(IF(SMALL('Estoque Atual'!$Q$4:$Q$53,5)&gt;=999999,"",INDEX('Estoque Atual'!$A$4:$A$53,MATCH(SMALL('Estoque Atual'!$Q$4:$Q$53,5),'Estoque Atual'!$Q$4:$Q$53,0))),"")</f>
        <v>Durex grande</v>
      </c>
      <c r="L12" s="7">
        <f>IFERROR(IF(SMALL('Estoque Atual'!$Q$4:$Q$53,5)&gt;=999999,"",INDEX('Estoque Atual'!$J$4:$J$53,MATCH(SMALL('Estoque Atual'!$Q$4:$Q$53,5),'Estoque Atual'!$Q$4:$Q$53,0))),"")</f>
        <v>0</v>
      </c>
      <c r="M12" s="11">
        <f>IFERROR(IF(SMALL('Estoque Atual'!$Q$4:$Q$53,5)&gt;=999999,"",INDEX('Estoque Atual'!$D$4:$D$53,MATCH(SMALL('Estoque Atual'!$Q$4:$Q$53,5),'Estoque Atual'!$Q$4:$Q$53,0))),"")</f>
        <v>2</v>
      </c>
      <c r="N12" s="12" t="str">
        <f>IFERROR(IF(SMALL('Estoque Atual'!$Q$4:$Q$53,5)&gt;=999999,"",INDEX('Estoque Atual'!$L$4:$L$53,MATCH(SMALL('Estoque Atual'!$Q$4:$Q$53,5),'Estoque Atual'!$Q$4:$Q$53,0))),"")</f>
        <v>⚠ SEM ESTOQUE</v>
      </c>
    </row>
    <row r="13" spans="1:15" x14ac:dyDescent="0.25">
      <c r="A13" s="13" t="s">
        <v>66</v>
      </c>
      <c r="B13" s="14">
        <f>IFERROR(SUMIFS(Movimentações!$E$4:$E$5000,Movimentações!$B$4:$B$5000,"&gt;="&amp;DATE(2026,6,1),Movimentações!$B$4:$B$5000,"&lt;="&amp;EOMONTH(DATE(2026,6,1),0),Movimentações!$D$4:$D$5000,"Entrada"),0)</f>
        <v>0</v>
      </c>
      <c r="C13" s="15">
        <f>IFERROR(SUMIFS(Movimentações!$E$4:$E$5000,Movimentações!$B$4:$B$5000,"&gt;="&amp;DATE(2026,6,1),Movimentações!$B$4:$B$5000,"&lt;="&amp;EOMONTH(DATE(2026,6,1),0),Movimentações!$D$4:$D$5000,"Saída"),0)</f>
        <v>0</v>
      </c>
      <c r="D13" s="16">
        <f t="shared" si="0"/>
        <v>0</v>
      </c>
      <c r="F13" s="17">
        <v>6</v>
      </c>
      <c r="G13" s="13" t="str">
        <f>IFERROR(IF(LARGE('Estoque Atual'!$R$4:$R$53,6)&lt;0,"",INDEX('Estoque Atual'!$A$4:$A$53,MATCH(LARGE('Estoque Atual'!$R$4:$R$53,6),'Estoque Atual'!$R$4:$R$53,0))),"")</f>
        <v>Grampo normal</v>
      </c>
      <c r="H13" s="15">
        <f>IFERROR(IF(LARGE('Estoque Atual'!$R$4:$R$53,6)&lt;0,"",INDEX('Estoque Atual'!$I$4:$I$53,MATCH(LARGE('Estoque Atual'!$R$4:$R$53,6),'Estoque Atual'!$R$4:$R$53,0))),"")</f>
        <v>2</v>
      </c>
      <c r="I13" s="18">
        <f>IFERROR(IF(LARGE('Estoque Atual'!$R$4:$R$53,6)&lt;0,"",INDEX('Estoque Atual'!$J$4:$J$53,MATCH(LARGE('Estoque Atual'!$R$4:$R$53,6),'Estoque Atual'!$R$4:$R$53,0))),"")</f>
        <v>0</v>
      </c>
      <c r="K13" s="13" t="str">
        <f>IFERROR(IF(SMALL('Estoque Atual'!$Q$4:$Q$53,6)&gt;=999999,"",INDEX('Estoque Atual'!$A$4:$A$53,MATCH(SMALL('Estoque Atual'!$Q$4:$Q$53,6),'Estoque Atual'!$Q$4:$Q$53,0))),"")</f>
        <v>Cola bastão</v>
      </c>
      <c r="L13" s="15">
        <f>IFERROR(IF(SMALL('Estoque Atual'!$Q$4:$Q$53,6)&gt;=999999,"",INDEX('Estoque Atual'!$J$4:$J$53,MATCH(SMALL('Estoque Atual'!$Q$4:$Q$53,6),'Estoque Atual'!$Q$4:$Q$53,0))),"")</f>
        <v>0</v>
      </c>
      <c r="M13" s="19">
        <f>IFERROR(IF(SMALL('Estoque Atual'!$Q$4:$Q$53,6)&gt;=999999,"",INDEX('Estoque Atual'!$D$4:$D$53,MATCH(SMALL('Estoque Atual'!$Q$4:$Q$53,6),'Estoque Atual'!$Q$4:$Q$53,0))),"")</f>
        <v>2</v>
      </c>
      <c r="N13" s="20" t="str">
        <f>IFERROR(IF(SMALL('Estoque Atual'!$Q$4:$Q$53,6)&gt;=999999,"",INDEX('Estoque Atual'!$L$4:$L$53,MATCH(SMALL('Estoque Atual'!$Q$4:$Q$53,6),'Estoque Atual'!$Q$4:$Q$53,0))),"")</f>
        <v>⚠ SEM ESTOQUE</v>
      </c>
    </row>
    <row r="14" spans="1:15" x14ac:dyDescent="0.25">
      <c r="A14" s="5" t="s">
        <v>67</v>
      </c>
      <c r="B14" s="6">
        <f>IFERROR(SUMIFS(Movimentações!$E$4:$E$5000,Movimentações!$B$4:$B$5000,"&gt;="&amp;DATE(2026,7,1),Movimentações!$B$4:$B$5000,"&lt;="&amp;EOMONTH(DATE(2026,7,1),0),Movimentações!$D$4:$D$5000,"Entrada"),0)</f>
        <v>0</v>
      </c>
      <c r="C14" s="7">
        <f>IFERROR(SUMIFS(Movimentações!$E$4:$E$5000,Movimentações!$B$4:$B$5000,"&gt;="&amp;DATE(2026,7,1),Movimentações!$B$4:$B$5000,"&lt;="&amp;EOMONTH(DATE(2026,7,1),0),Movimentações!$D$4:$D$5000,"Saída"),0)</f>
        <v>0</v>
      </c>
      <c r="D14" s="8">
        <f t="shared" si="0"/>
        <v>0</v>
      </c>
      <c r="F14" s="9">
        <v>7</v>
      </c>
      <c r="G14" s="5" t="str">
        <f>IFERROR(IF(LARGE('Estoque Atual'!$R$4:$R$53,7)&lt;0,"",INDEX('Estoque Atual'!$A$4:$A$53,MATCH(LARGE('Estoque Atual'!$R$4:$R$53,7),'Estoque Atual'!$R$4:$R$53,0))),"")</f>
        <v>Bloco de notas</v>
      </c>
      <c r="H14" s="7">
        <f>IFERROR(IF(LARGE('Estoque Atual'!$R$4:$R$53,7)&lt;0,"",INDEX('Estoque Atual'!$I$4:$I$53,MATCH(LARGE('Estoque Atual'!$R$4:$R$53,7),'Estoque Atual'!$R$4:$R$53,0))),"")</f>
        <v>2</v>
      </c>
      <c r="I14" s="10">
        <f>IFERROR(IF(LARGE('Estoque Atual'!$R$4:$R$53,7)&lt;0,"",INDEX('Estoque Atual'!$J$4:$J$53,MATCH(LARGE('Estoque Atual'!$R$4:$R$53,7),'Estoque Atual'!$R$4:$R$53,0))),"")</f>
        <v>13</v>
      </c>
      <c r="K14" s="5" t="str">
        <f>IFERROR(IF(SMALL('Estoque Atual'!$Q$4:$Q$53,7)&gt;=999999,"",INDEX('Estoque Atual'!$A$4:$A$53,MATCH(SMALL('Estoque Atual'!$Q$4:$Q$53,7),'Estoque Atual'!$Q$4:$Q$53,0))),"")</f>
        <v>Tesoura</v>
      </c>
      <c r="L14" s="7">
        <f>IFERROR(IF(SMALL('Estoque Atual'!$Q$4:$Q$53,7)&gt;=999999,"",INDEX('Estoque Atual'!$J$4:$J$53,MATCH(SMALL('Estoque Atual'!$Q$4:$Q$53,7),'Estoque Atual'!$Q$4:$Q$53,0))),"")</f>
        <v>0</v>
      </c>
      <c r="M14" s="11">
        <f>IFERROR(IF(SMALL('Estoque Atual'!$Q$4:$Q$53,7)&gt;=999999,"",INDEX('Estoque Atual'!$D$4:$D$53,MATCH(SMALL('Estoque Atual'!$Q$4:$Q$53,7),'Estoque Atual'!$Q$4:$Q$53,0))),"")</f>
        <v>2</v>
      </c>
      <c r="N14" s="12" t="str">
        <f>IFERROR(IF(SMALL('Estoque Atual'!$Q$4:$Q$53,7)&gt;=999999,"",INDEX('Estoque Atual'!$L$4:$L$53,MATCH(SMALL('Estoque Atual'!$Q$4:$Q$53,7),'Estoque Atual'!$Q$4:$Q$53,0))),"")</f>
        <v>⚠ SEM ESTOQUE</v>
      </c>
    </row>
    <row r="15" spans="1:15" x14ac:dyDescent="0.25">
      <c r="A15" s="13" t="s">
        <v>68</v>
      </c>
      <c r="B15" s="14">
        <f>IFERROR(SUMIFS(Movimentações!$E$4:$E$5000,Movimentações!$B$4:$B$5000,"&gt;="&amp;DATE(2026,8,1),Movimentações!$B$4:$B$5000,"&lt;="&amp;EOMONTH(DATE(2026,8,1),0),Movimentações!$D$4:$D$5000,"Entrada"),0)</f>
        <v>0</v>
      </c>
      <c r="C15" s="15">
        <f>IFERROR(SUMIFS(Movimentações!$E$4:$E$5000,Movimentações!$B$4:$B$5000,"&gt;="&amp;DATE(2026,8,1),Movimentações!$B$4:$B$5000,"&lt;="&amp;EOMONTH(DATE(2026,8,1),0),Movimentações!$D$4:$D$5000,"Saída"),0)</f>
        <v>0</v>
      </c>
      <c r="D15" s="16">
        <f t="shared" si="0"/>
        <v>0</v>
      </c>
      <c r="F15" s="17">
        <v>8</v>
      </c>
      <c r="G15" s="13" t="str">
        <f>IFERROR(IF(LARGE('Estoque Atual'!$R$4:$R$53,8)&lt;0,"",INDEX('Estoque Atual'!$A$4:$A$53,MATCH(LARGE('Estoque Atual'!$R$4:$R$53,8),'Estoque Atual'!$R$4:$R$53,0))),"")</f>
        <v>Bobina</v>
      </c>
      <c r="H15" s="15">
        <f>IFERROR(IF(LARGE('Estoque Atual'!$R$4:$R$53,8)&lt;0,"",INDEX('Estoque Atual'!$I$4:$I$53,MATCH(LARGE('Estoque Atual'!$R$4:$R$53,8),'Estoque Atual'!$R$4:$R$53,0))),"")</f>
        <v>2</v>
      </c>
      <c r="I15" s="18">
        <f>IFERROR(IF(LARGE('Estoque Atual'!$R$4:$R$53,8)&lt;0,"",INDEX('Estoque Atual'!$J$4:$J$53,MATCH(LARGE('Estoque Atual'!$R$4:$R$53,8),'Estoque Atual'!$R$4:$R$53,0))),"")</f>
        <v>6</v>
      </c>
      <c r="K15" s="13" t="str">
        <f>IFERROR(IF(SMALL('Estoque Atual'!$Q$4:$Q$53,8)&gt;=999999,"",INDEX('Estoque Atual'!$A$4:$A$53,MATCH(SMALL('Estoque Atual'!$Q$4:$Q$53,8),'Estoque Atual'!$Q$4:$Q$53,0))),"")</f>
        <v>Papel A3</v>
      </c>
      <c r="L15" s="15">
        <f>IFERROR(IF(SMALL('Estoque Atual'!$Q$4:$Q$53,8)&gt;=999999,"",INDEX('Estoque Atual'!$J$4:$J$53,MATCH(SMALL('Estoque Atual'!$Q$4:$Q$53,8),'Estoque Atual'!$Q$4:$Q$53,0))),"")</f>
        <v>0</v>
      </c>
      <c r="M15" s="19">
        <f>IFERROR(IF(SMALL('Estoque Atual'!$Q$4:$Q$53,8)&gt;=999999,"",INDEX('Estoque Atual'!$D$4:$D$53,MATCH(SMALL('Estoque Atual'!$Q$4:$Q$53,8),'Estoque Atual'!$Q$4:$Q$53,0))),"")</f>
        <v>2</v>
      </c>
      <c r="N15" s="20" t="str">
        <f>IFERROR(IF(SMALL('Estoque Atual'!$Q$4:$Q$53,8)&gt;=999999,"",INDEX('Estoque Atual'!$L$4:$L$53,MATCH(SMALL('Estoque Atual'!$Q$4:$Q$53,8),'Estoque Atual'!$Q$4:$Q$53,0))),"")</f>
        <v>⚠ SEM ESTOQUE</v>
      </c>
    </row>
    <row r="16" spans="1:15" x14ac:dyDescent="0.25">
      <c r="A16" s="5" t="s">
        <v>69</v>
      </c>
      <c r="B16" s="6">
        <f>IFERROR(SUMIFS(Movimentações!$E$4:$E$5000,Movimentações!$B$4:$B$5000,"&gt;="&amp;DATE(2026,9,1),Movimentações!$B$4:$B$5000,"&lt;="&amp;EOMONTH(DATE(2026,9,1),0),Movimentações!$D$4:$D$5000,"Entrada"),0)</f>
        <v>0</v>
      </c>
      <c r="C16" s="7">
        <f>IFERROR(SUMIFS(Movimentações!$E$4:$E$5000,Movimentações!$B$4:$B$5000,"&gt;="&amp;DATE(2026,9,1),Movimentações!$B$4:$B$5000,"&lt;="&amp;EOMONTH(DATE(2026,9,1),0),Movimentações!$D$4:$D$5000,"Saída"),0)</f>
        <v>0</v>
      </c>
      <c r="D16" s="8">
        <f t="shared" si="0"/>
        <v>0</v>
      </c>
      <c r="F16" s="9">
        <v>9</v>
      </c>
      <c r="G16" s="5" t="str">
        <f>IFERROR(IF(LARGE('Estoque Atual'!$R$4:$R$53,9)&lt;0,"",INDEX('Estoque Atual'!$A$4:$A$53,MATCH(LARGE('Estoque Atual'!$R$4:$R$53,9),'Estoque Atual'!$R$4:$R$53,0))),"")</f>
        <v>Clips</v>
      </c>
      <c r="H16" s="7">
        <f>IFERROR(IF(LARGE('Estoque Atual'!$R$4:$R$53,9)&lt;0,"",INDEX('Estoque Atual'!$I$4:$I$53,MATCH(LARGE('Estoque Atual'!$R$4:$R$53,9),'Estoque Atual'!$R$4:$R$53,0))),"")</f>
        <v>1</v>
      </c>
      <c r="I16" s="10">
        <f>IFERROR(IF(LARGE('Estoque Atual'!$R$4:$R$53,9)&lt;0,"",INDEX('Estoque Atual'!$J$4:$J$53,MATCH(LARGE('Estoque Atual'!$R$4:$R$53,9),'Estoque Atual'!$R$4:$R$53,0))),"")</f>
        <v>3</v>
      </c>
      <c r="K16" s="5" t="str">
        <f>IFERROR(IF(SMALL('Estoque Atual'!$Q$4:$Q$53,9)&gt;=999999,"",INDEX('Estoque Atual'!$A$4:$A$53,MATCH(SMALL('Estoque Atual'!$Q$4:$Q$53,9),'Estoque Atual'!$Q$4:$Q$53,0))),"")</f>
        <v>Cola</v>
      </c>
      <c r="L16" s="7">
        <f>IFERROR(IF(SMALL('Estoque Atual'!$Q$4:$Q$53,9)&gt;=999999,"",INDEX('Estoque Atual'!$J$4:$J$53,MATCH(SMALL('Estoque Atual'!$Q$4:$Q$53,9),'Estoque Atual'!$Q$4:$Q$53,0))),"")</f>
        <v>1</v>
      </c>
      <c r="M16" s="11">
        <f>IFERROR(IF(SMALL('Estoque Atual'!$Q$4:$Q$53,9)&gt;=999999,"",INDEX('Estoque Atual'!$D$4:$D$53,MATCH(SMALL('Estoque Atual'!$Q$4:$Q$53,9),'Estoque Atual'!$Q$4:$Q$53,0))),"")</f>
        <v>2</v>
      </c>
      <c r="N16" s="12" t="str">
        <f>IFERROR(IF(SMALL('Estoque Atual'!$Q$4:$Q$53,9)&gt;=999999,"",INDEX('Estoque Atual'!$L$4:$L$53,MATCH(SMALL('Estoque Atual'!$Q$4:$Q$53,9),'Estoque Atual'!$Q$4:$Q$53,0))),"")</f>
        <v>⬇ ABAIXO DO MÍN.</v>
      </c>
    </row>
    <row r="17" spans="1:14" x14ac:dyDescent="0.25">
      <c r="A17" s="13" t="s">
        <v>70</v>
      </c>
      <c r="B17" s="14">
        <f>IFERROR(SUMIFS(Movimentações!$E$4:$E$5000,Movimentações!$B$4:$B$5000,"&gt;="&amp;DATE(2026,10,1),Movimentações!$B$4:$B$5000,"&lt;="&amp;EOMONTH(DATE(2026,10,1),0),Movimentações!$D$4:$D$5000,"Entrada"),0)</f>
        <v>0</v>
      </c>
      <c r="C17" s="15">
        <f>IFERROR(SUMIFS(Movimentações!$E$4:$E$5000,Movimentações!$B$4:$B$5000,"&gt;="&amp;DATE(2026,10,1),Movimentações!$B$4:$B$5000,"&lt;="&amp;EOMONTH(DATE(2026,10,1),0),Movimentações!$D$4:$D$5000,"Saída"),0)</f>
        <v>0</v>
      </c>
      <c r="D17" s="16">
        <f t="shared" si="0"/>
        <v>0</v>
      </c>
      <c r="F17" s="17">
        <v>10</v>
      </c>
      <c r="G17" s="13" t="str">
        <f>IFERROR(IF(LARGE('Estoque Atual'!$R$4:$R$53,10)&lt;0,"",INDEX('Estoque Atual'!$A$4:$A$53,MATCH(LARGE('Estoque Atual'!$R$4:$R$53,10),'Estoque Atual'!$R$4:$R$53,0))),"")</f>
        <v/>
      </c>
      <c r="H17" s="15" t="str">
        <f>IFERROR(IF(LARGE('Estoque Atual'!$R$4:$R$53,10)&lt;0,"",INDEX('Estoque Atual'!$I$4:$I$53,MATCH(LARGE('Estoque Atual'!$R$4:$R$53,10),'Estoque Atual'!$R$4:$R$53,0))),"")</f>
        <v/>
      </c>
      <c r="I17" s="18" t="str">
        <f>IFERROR(IF(LARGE('Estoque Atual'!$R$4:$R$53,10)&lt;0,"",INDEX('Estoque Atual'!$J$4:$J$53,MATCH(LARGE('Estoque Atual'!$R$4:$R$53,10),'Estoque Atual'!$R$4:$R$53,0))),"")</f>
        <v/>
      </c>
      <c r="K17" s="13" t="str">
        <f>IFERROR(IF(SMALL('Estoque Atual'!$Q$4:$Q$53,10)&gt;=999999,"",INDEX('Estoque Atual'!$A$4:$A$53,MATCH(SMALL('Estoque Atual'!$Q$4:$Q$53,10),'Estoque Atual'!$Q$4:$Q$53,0))),"")</f>
        <v>Grampo normal</v>
      </c>
      <c r="L17" s="15">
        <f>IFERROR(IF(SMALL('Estoque Atual'!$Q$4:$Q$53,10)&gt;=999999,"",INDEX('Estoque Atual'!$J$4:$J$53,MATCH(SMALL('Estoque Atual'!$Q$4:$Q$53,10),'Estoque Atual'!$Q$4:$Q$53,0))),"")</f>
        <v>0</v>
      </c>
      <c r="M17" s="19">
        <f>IFERROR(IF(SMALL('Estoque Atual'!$Q$4:$Q$53,10)&gt;=999999,"",INDEX('Estoque Atual'!$D$4:$D$53,MATCH(SMALL('Estoque Atual'!$Q$4:$Q$53,10),'Estoque Atual'!$Q$4:$Q$53,0))),"")</f>
        <v>1</v>
      </c>
      <c r="N17" s="20" t="str">
        <f>IFERROR(IF(SMALL('Estoque Atual'!$Q$4:$Q$53,10)&gt;=999999,"",INDEX('Estoque Atual'!$L$4:$L$53,MATCH(SMALL('Estoque Atual'!$Q$4:$Q$53,10),'Estoque Atual'!$Q$4:$Q$53,0))),"")</f>
        <v>⚠ SEM ESTOQUE</v>
      </c>
    </row>
    <row r="18" spans="1:14" x14ac:dyDescent="0.25">
      <c r="A18" s="5" t="s">
        <v>71</v>
      </c>
      <c r="B18" s="6">
        <f>IFERROR(SUMIFS(Movimentações!$E$4:$E$5000,Movimentações!$B$4:$B$5000,"&gt;="&amp;DATE(2026,11,1),Movimentações!$B$4:$B$5000,"&lt;="&amp;EOMONTH(DATE(2026,11,1),0),Movimentações!$D$4:$D$5000,"Entrada"),0)</f>
        <v>0</v>
      </c>
      <c r="C18" s="7">
        <f>IFERROR(SUMIFS(Movimentações!$E$4:$E$5000,Movimentações!$B$4:$B$5000,"&gt;="&amp;DATE(2026,11,1),Movimentações!$B$4:$B$5000,"&lt;="&amp;EOMONTH(DATE(2026,11,1),0),Movimentações!$D$4:$D$5000,"Saída"),0)</f>
        <v>0</v>
      </c>
      <c r="D18" s="8">
        <f t="shared" si="0"/>
        <v>0</v>
      </c>
    </row>
    <row r="19" spans="1:14" x14ac:dyDescent="0.25">
      <c r="A19" s="13" t="s">
        <v>72</v>
      </c>
      <c r="B19" s="14">
        <f>IFERROR(SUMIFS(Movimentações!$E$4:$E$5000,Movimentações!$B$4:$B$5000,"&gt;="&amp;DATE(2026,12,1),Movimentações!$B$4:$B$5000,"&lt;="&amp;EOMONTH(DATE(2026,12,1),0),Movimentações!$D$4:$D$5000,"Entrada"),0)</f>
        <v>0</v>
      </c>
      <c r="C19" s="15">
        <f>IFERROR(SUMIFS(Movimentações!$E$4:$E$5000,Movimentações!$B$4:$B$5000,"&gt;="&amp;DATE(2026,12,1),Movimentações!$B$4:$B$5000,"&lt;="&amp;EOMONTH(DATE(2026,12,1),0),Movimentações!$D$4:$D$5000,"Saída"),0)</f>
        <v>0</v>
      </c>
      <c r="D19" s="16">
        <f t="shared" si="0"/>
        <v>0</v>
      </c>
    </row>
    <row r="20" spans="1:14" x14ac:dyDescent="0.25">
      <c r="A20" s="21" t="s">
        <v>73</v>
      </c>
      <c r="B20" s="22">
        <f>SUM(B8:B19)</f>
        <v>322</v>
      </c>
      <c r="C20" s="23">
        <f>SUM(C8:C19)</f>
        <v>290</v>
      </c>
      <c r="D20" s="24">
        <f>SUM(D8:D19)</f>
        <v>32</v>
      </c>
    </row>
    <row r="22" spans="1:14" ht="30" customHeight="1" x14ac:dyDescent="0.25">
      <c r="A22" s="103" t="s">
        <v>74</v>
      </c>
      <c r="B22" s="97"/>
      <c r="C22" s="97"/>
      <c r="D22" s="97"/>
      <c r="E22" s="97"/>
    </row>
    <row r="23" spans="1:14" ht="26.1" customHeight="1" x14ac:dyDescent="0.25">
      <c r="A23" s="4" t="s">
        <v>75</v>
      </c>
      <c r="B23" s="4" t="s">
        <v>76</v>
      </c>
      <c r="C23" s="4" t="s">
        <v>53</v>
      </c>
      <c r="D23" s="4" t="s">
        <v>77</v>
      </c>
      <c r="E23" s="4" t="s">
        <v>78</v>
      </c>
    </row>
    <row r="24" spans="1:14" x14ac:dyDescent="0.25">
      <c r="A24" s="5" t="s">
        <v>79</v>
      </c>
      <c r="B24" s="12" t="str">
        <f>IFERROR(VLOOKUP(A24,'Cad. Colaboradores'!$B$4:$C$17,2,FALSE),"")</f>
        <v>Administrativo</v>
      </c>
      <c r="C24" s="7">
        <f>IFERROR(SUMIFS(Movimentações!$E$4:$E$5000,Movimentações!$F$4:$F$5000,A24,Movimentações!$D$4:$D$5000,"Saída"),0)</f>
        <v>1</v>
      </c>
      <c r="D24" s="25">
        <f>SUMPRODUCT((COUNTIFS(Movimentações!$F$4:$F$5000,A24,Movimentações!$C$4:$C$5000,'Estoque Atual'!$A$4:$A$53,Movimentações!$D$4:$D$5000,"Saída")&gt;0)*1)</f>
        <v>1</v>
      </c>
      <c r="E24" s="26">
        <f>IF(COUNTIFS(Movimentações!$F$4:$F$5000,A24,Movimentações!$D$4:$D$5000,"Saída")=0,"",SUMPRODUCT(MAX((Movimentações!$F$4:$F$5000=A24)*(Movimentações!$D$4:$D$5000="Saída")*Movimentações!$B$4:$B$5000)))</f>
        <v>46099</v>
      </c>
    </row>
    <row r="25" spans="1:14" x14ac:dyDescent="0.25">
      <c r="A25" s="13" t="s">
        <v>80</v>
      </c>
      <c r="B25" s="20" t="str">
        <f>IFERROR(VLOOKUP(A25,'Cad. Colaboradores'!$B$4:$C$17,2,FALSE),"")</f>
        <v>Administrativo</v>
      </c>
      <c r="C25" s="15">
        <f>IFERROR(SUMIFS(Movimentações!$E$4:$E$5000,Movimentações!$F$4:$F$5000,A25,Movimentações!$D$4:$D$5000,"Saída"),0)</f>
        <v>2</v>
      </c>
      <c r="D25" s="27">
        <f>SUMPRODUCT((COUNTIFS(Movimentações!$F$4:$F$5000,A25,Movimentações!$C$4:$C$5000,'Estoque Atual'!$A$4:$A$53,Movimentações!$D$4:$D$5000,"Saída")&gt;0)*1)</f>
        <v>2</v>
      </c>
      <c r="E25" s="28">
        <f>IF(COUNTIFS(Movimentações!$F$4:$F$5000,A25,Movimentações!$D$4:$D$5000,"Saída")=0,"",SUMPRODUCT(MAX((Movimentações!$F$4:$F$5000=A25)*(Movimentações!$D$4:$D$5000="Saída")*Movimentações!$B$4:$B$5000)))</f>
        <v>46114</v>
      </c>
    </row>
    <row r="26" spans="1:14" x14ac:dyDescent="0.25">
      <c r="A26" s="5" t="s">
        <v>81</v>
      </c>
      <c r="B26" s="12" t="str">
        <f>IFERROR(VLOOKUP(A26,'Cad. Colaboradores'!$B$4:$C$17,2,FALSE),"")</f>
        <v>Administrativo</v>
      </c>
      <c r="C26" s="7">
        <f>IFERROR(SUMIFS(Movimentações!$E$4:$E$5000,Movimentações!$F$4:$F$5000,A26,Movimentações!$D$4:$D$5000,"Saída"),0)</f>
        <v>42</v>
      </c>
      <c r="D26" s="25">
        <f>SUMPRODUCT((COUNTIFS(Movimentações!$F$4:$F$5000,A26,Movimentações!$C$4:$C$5000,'Estoque Atual'!$A$4:$A$53,Movimentações!$D$4:$D$5000,"Saída")&gt;0)*1)</f>
        <v>5</v>
      </c>
      <c r="E26" s="26">
        <f>IF(COUNTIFS(Movimentações!$F$4:$F$5000,A26,Movimentações!$D$4:$D$5000,"Saída")=0,"",SUMPRODUCT(MAX((Movimentações!$F$4:$F$5000=A26)*(Movimentações!$D$4:$D$5000="Saída")*Movimentações!$B$4:$B$5000)))</f>
        <v>46092</v>
      </c>
    </row>
    <row r="27" spans="1:14" x14ac:dyDescent="0.25">
      <c r="A27" s="13" t="s">
        <v>82</v>
      </c>
      <c r="B27" s="20" t="str">
        <f>IFERROR(VLOOKUP(A27,'Cad. Colaboradores'!$B$4:$C$17,2,FALSE),"")</f>
        <v>Administrativo</v>
      </c>
      <c r="C27" s="15">
        <f>IFERROR(SUMIFS(Movimentações!$E$4:$E$5000,Movimentações!$F$4:$F$5000,A27,Movimentações!$D$4:$D$5000,"Saída"),0)</f>
        <v>61</v>
      </c>
      <c r="D27" s="27">
        <f>SUMPRODUCT((COUNTIFS(Movimentações!$F$4:$F$5000,A27,Movimentações!$C$4:$C$5000,'Estoque Atual'!$A$4:$A$53,Movimentações!$D$4:$D$5000,"Saída")&gt;0)*1)</f>
        <v>5</v>
      </c>
      <c r="E27" s="28">
        <f>IF(COUNTIFS(Movimentações!$F$4:$F$5000,A27,Movimentações!$D$4:$D$5000,"Saída")=0,"",SUMPRODUCT(MAX((Movimentações!$F$4:$F$5000=A27)*(Movimentações!$D$4:$D$5000="Saída")*Movimentações!$B$4:$B$5000)))</f>
        <v>46113</v>
      </c>
    </row>
    <row r="28" spans="1:14" x14ac:dyDescent="0.25">
      <c r="A28" s="5" t="s">
        <v>83</v>
      </c>
      <c r="B28" s="12" t="str">
        <f>IFERROR(VLOOKUP(A28,'Cad. Colaboradores'!$B$4:$C$17,2,FALSE),"")</f>
        <v>Administrativo</v>
      </c>
      <c r="C28" s="7">
        <f>IFERROR(SUMIFS(Movimentações!$E$4:$E$5000,Movimentações!$F$4:$F$5000,A28,Movimentações!$D$4:$D$5000,"Saída"),0)</f>
        <v>3</v>
      </c>
      <c r="D28" s="25">
        <f>SUMPRODUCT((COUNTIFS(Movimentações!$F$4:$F$5000,A28,Movimentações!$C$4:$C$5000,'Estoque Atual'!$A$4:$A$53,Movimentações!$D$4:$D$5000,"Saída")&gt;0)*1)</f>
        <v>1</v>
      </c>
      <c r="E28" s="26">
        <f>IF(COUNTIFS(Movimentações!$F$4:$F$5000,A28,Movimentações!$D$4:$D$5000,"Saída")=0,"",SUMPRODUCT(MAX((Movimentações!$F$4:$F$5000=A28)*(Movimentações!$D$4:$D$5000="Saída")*Movimentações!$B$4:$B$5000)))</f>
        <v>46026</v>
      </c>
    </row>
    <row r="29" spans="1:14" x14ac:dyDescent="0.25">
      <c r="A29" s="13" t="s">
        <v>84</v>
      </c>
      <c r="B29" s="20" t="str">
        <f>IFERROR(VLOOKUP(A29,'Cad. Colaboradores'!$B$4:$C$17,2,FALSE),"")</f>
        <v>Administrativo</v>
      </c>
      <c r="C29" s="15">
        <f>IFERROR(SUMIFS(Movimentações!$E$4:$E$5000,Movimentações!$F$4:$F$5000,A29,Movimentações!$D$4:$D$5000,"Saída"),0)</f>
        <v>22</v>
      </c>
      <c r="D29" s="27">
        <f>SUMPRODUCT((COUNTIFS(Movimentações!$F$4:$F$5000,A29,Movimentações!$C$4:$C$5000,'Estoque Atual'!$A$4:$A$53,Movimentações!$D$4:$D$5000,"Saída")&gt;0)*1)</f>
        <v>4</v>
      </c>
      <c r="E29" s="28">
        <f>IF(COUNTIFS(Movimentações!$F$4:$F$5000,A29,Movimentações!$D$4:$D$5000,"Saída")=0,"",SUMPRODUCT(MAX((Movimentações!$F$4:$F$5000=A29)*(Movimentações!$D$4:$D$5000="Saída")*Movimentações!$B$4:$B$5000)))</f>
        <v>46125</v>
      </c>
    </row>
    <row r="30" spans="1:14" x14ac:dyDescent="0.25">
      <c r="A30" s="5" t="s">
        <v>85</v>
      </c>
      <c r="B30" s="12" t="str">
        <f>IFERROR(VLOOKUP(A30,'Cad. Colaboradores'!$B$4:$C$17,2,FALSE),"")</f>
        <v>Administrativo</v>
      </c>
      <c r="C30" s="7">
        <f>IFERROR(SUMIFS(Movimentações!$E$4:$E$5000,Movimentações!$F$4:$F$5000,A30,Movimentações!$D$4:$D$5000,"Saída"),0)</f>
        <v>107</v>
      </c>
      <c r="D30" s="25">
        <f>SUMPRODUCT((COUNTIFS(Movimentações!$F$4:$F$5000,A30,Movimentações!$C$4:$C$5000,'Estoque Atual'!$A$4:$A$53,Movimentações!$D$4:$D$5000,"Saída")&gt;0)*1)</f>
        <v>2</v>
      </c>
      <c r="E30" s="26">
        <f>IF(COUNTIFS(Movimentações!$F$4:$F$5000,A30,Movimentações!$D$4:$D$5000,"Saída")=0,"",SUMPRODUCT(MAX((Movimentações!$F$4:$F$5000=A30)*(Movimentações!$D$4:$D$5000="Saída")*Movimentações!$B$4:$B$5000)))</f>
        <v>46122</v>
      </c>
    </row>
    <row r="31" spans="1:14" x14ac:dyDescent="0.25">
      <c r="A31" s="13" t="s">
        <v>86</v>
      </c>
      <c r="B31" s="20" t="str">
        <f>IFERROR(VLOOKUP(A31,'Cad. Colaboradores'!$B$4:$C$17,2,FALSE),"")</f>
        <v>Compras</v>
      </c>
      <c r="C31" s="15">
        <f>IFERROR(SUMIFS(Movimentações!$E$4:$E$5000,Movimentações!$F$4:$F$5000,A31,Movimentações!$D$4:$D$5000,"Saída"),0)</f>
        <v>9</v>
      </c>
      <c r="D31" s="27">
        <f>SUMPRODUCT((COUNTIFS(Movimentações!$F$4:$F$5000,A31,Movimentações!$C$4:$C$5000,'Estoque Atual'!$A$4:$A$53,Movimentações!$D$4:$D$5000,"Saída")&gt;0)*1)</f>
        <v>5</v>
      </c>
      <c r="E31" s="28">
        <f>IF(COUNTIFS(Movimentações!$F$4:$F$5000,A31,Movimentações!$D$4:$D$5000,"Saída")=0,"",SUMPRODUCT(MAX((Movimentações!$F$4:$F$5000=A31)*(Movimentações!$D$4:$D$5000="Saída")*Movimentações!$B$4:$B$5000)))</f>
        <v>46122</v>
      </c>
    </row>
    <row r="32" spans="1:14" x14ac:dyDescent="0.25">
      <c r="A32" s="5" t="s">
        <v>87</v>
      </c>
      <c r="B32" s="12" t="str">
        <f>IFERROR(VLOOKUP(A32,'Cad. Colaboradores'!$B$4:$C$17,2,FALSE),"")</f>
        <v>Administrativo</v>
      </c>
      <c r="C32" s="7">
        <f>IFERROR(SUMIFS(Movimentações!$E$4:$E$5000,Movimentações!$F$4:$F$5000,A32,Movimentações!$D$4:$D$5000,"Saída"),0)</f>
        <v>2</v>
      </c>
      <c r="D32" s="25">
        <f>SUMPRODUCT((COUNTIFS(Movimentações!$F$4:$F$5000,A32,Movimentações!$C$4:$C$5000,'Estoque Atual'!$A$4:$A$53,Movimentações!$D$4:$D$5000,"Saída")&gt;0)*1)</f>
        <v>2</v>
      </c>
      <c r="E32" s="26">
        <f>IF(COUNTIFS(Movimentações!$F$4:$F$5000,A32,Movimentações!$D$4:$D$5000,"Saída")=0,"",SUMPRODUCT(MAX((Movimentações!$F$4:$F$5000=A32)*(Movimentações!$D$4:$D$5000="Saída")*Movimentações!$B$4:$B$5000)))</f>
        <v>46084</v>
      </c>
    </row>
    <row r="33" spans="1:5" x14ac:dyDescent="0.25">
      <c r="A33" s="13" t="s">
        <v>88</v>
      </c>
      <c r="B33" s="20" t="str">
        <f>IFERROR(VLOOKUP(A33,'Cad. Colaboradores'!$B$4:$C$17,2,FALSE),"")</f>
        <v>Operacional</v>
      </c>
      <c r="C33" s="15">
        <f>IFERROR(SUMIFS(Movimentações!$E$4:$E$5000,Movimentações!$F$4:$F$5000,A33,Movimentações!$D$4:$D$5000,"Saída"),0)</f>
        <v>3</v>
      </c>
      <c r="D33" s="27">
        <f>SUMPRODUCT((COUNTIFS(Movimentações!$F$4:$F$5000,A33,Movimentações!$C$4:$C$5000,'Estoque Atual'!$A$4:$A$53,Movimentações!$D$4:$D$5000,"Saída")&gt;0)*1)</f>
        <v>3</v>
      </c>
      <c r="E33" s="28">
        <f>IF(COUNTIFS(Movimentações!$F$4:$F$5000,A33,Movimentações!$D$4:$D$5000,"Saída")=0,"",SUMPRODUCT(MAX((Movimentações!$F$4:$F$5000=A33)*(Movimentações!$D$4:$D$5000="Saída")*Movimentações!$B$4:$B$5000)))</f>
        <v>46119</v>
      </c>
    </row>
    <row r="34" spans="1:5" x14ac:dyDescent="0.25">
      <c r="A34" s="5" t="s">
        <v>89</v>
      </c>
      <c r="B34" s="12" t="str">
        <f>IFERROR(VLOOKUP(A34,'Cad. Colaboradores'!$B$4:$C$17,2,FALSE),"")</f>
        <v>Administrativo</v>
      </c>
      <c r="C34" s="7">
        <f>IFERROR(SUMIFS(Movimentações!$E$4:$E$5000,Movimentações!$F$4:$F$5000,A34,Movimentações!$D$4:$D$5000,"Saída"),0)</f>
        <v>26</v>
      </c>
      <c r="D34" s="25">
        <f>SUMPRODUCT((COUNTIFS(Movimentações!$F$4:$F$5000,A34,Movimentações!$C$4:$C$5000,'Estoque Atual'!$A$4:$A$53,Movimentações!$D$4:$D$5000,"Saída")&gt;0)*1)</f>
        <v>3</v>
      </c>
      <c r="E34" s="26">
        <f>IF(COUNTIFS(Movimentações!$F$4:$F$5000,A34,Movimentações!$D$4:$D$5000,"Saída")=0,"",SUMPRODUCT(MAX((Movimentações!$F$4:$F$5000=A34)*(Movimentações!$D$4:$D$5000="Saída")*Movimentações!$B$4:$B$5000)))</f>
        <v>46147</v>
      </c>
    </row>
    <row r="35" spans="1:5" x14ac:dyDescent="0.25">
      <c r="A35" s="13" t="s">
        <v>90</v>
      </c>
      <c r="B35" s="20" t="str">
        <f>IFERROR(VLOOKUP(A35,'Cad. Colaboradores'!$B$4:$C$17,2,FALSE),"")</f>
        <v>Administrativo</v>
      </c>
      <c r="C35" s="15">
        <f>IFERROR(SUMIFS(Movimentações!$E$4:$E$5000,Movimentações!$F$4:$F$5000,A35,Movimentações!$D$4:$D$5000,"Saída"),0)</f>
        <v>1</v>
      </c>
      <c r="D35" s="27">
        <f>SUMPRODUCT((COUNTIFS(Movimentações!$F$4:$F$5000,A35,Movimentações!$C$4:$C$5000,'Estoque Atual'!$A$4:$A$53,Movimentações!$D$4:$D$5000,"Saída")&gt;0)*1)</f>
        <v>1</v>
      </c>
      <c r="E35" s="28">
        <f>IF(COUNTIFS(Movimentações!$F$4:$F$5000,A35,Movimentações!$D$4:$D$5000,"Saída")=0,"",SUMPRODUCT(MAX((Movimentações!$F$4:$F$5000=A35)*(Movimentações!$D$4:$D$5000="Saída")*Movimentações!$B$4:$B$5000)))</f>
        <v>46027</v>
      </c>
    </row>
    <row r="36" spans="1:5" x14ac:dyDescent="0.25">
      <c r="A36" s="5" t="s">
        <v>91</v>
      </c>
      <c r="B36" s="12" t="str">
        <f>IFERROR(VLOOKUP(A36,'Cad. Colaboradores'!$B$4:$C$17,2,FALSE),"")</f>
        <v>Administrativo</v>
      </c>
      <c r="C36" s="7">
        <f>IFERROR(SUMIFS(Movimentações!$E$4:$E$5000,Movimentações!$F$4:$F$5000,A36,Movimentações!$D$4:$D$5000,"Saída"),0)</f>
        <v>11</v>
      </c>
      <c r="D36" s="25">
        <f>SUMPRODUCT((COUNTIFS(Movimentações!$F$4:$F$5000,A36,Movimentações!$C$4:$C$5000,'Estoque Atual'!$A$4:$A$53,Movimentações!$D$4:$D$5000,"Saída")&gt;0)*1)</f>
        <v>2</v>
      </c>
      <c r="E36" s="26">
        <f>IF(COUNTIFS(Movimentações!$F$4:$F$5000,A36,Movimentações!$D$4:$D$5000,"Saída")=0,"",SUMPRODUCT(MAX((Movimentações!$F$4:$F$5000=A36)*(Movimentações!$D$4:$D$5000="Saída")*Movimentações!$B$4:$B$5000)))</f>
        <v>46122</v>
      </c>
    </row>
    <row r="37" spans="1:5" x14ac:dyDescent="0.25">
      <c r="A37" s="13" t="s">
        <v>92</v>
      </c>
      <c r="B37" s="20" t="str">
        <f>IFERROR(VLOOKUP(A37,'Cad. Colaboradores'!$B$4:$C$17,2,FALSE),"")</f>
        <v>Compras</v>
      </c>
      <c r="C37" s="15">
        <f>IFERROR(SUMIFS(Movimentações!$E$4:$E$5000,Movimentações!$F$4:$F$5000,A37,Movimentações!$D$4:$D$5000,"Saída"),0)</f>
        <v>0</v>
      </c>
      <c r="D37" s="27">
        <f>SUMPRODUCT((COUNTIFS(Movimentações!$F$4:$F$5000,A37,Movimentações!$C$4:$C$5000,'Estoque Atual'!$A$4:$A$53,Movimentações!$D$4:$D$5000,"Saída")&gt;0)*1)</f>
        <v>0</v>
      </c>
      <c r="E37" s="28" t="str">
        <f>IF(COUNTIFS(Movimentações!$F$4:$F$5000,A37,Movimentações!$D$4:$D$5000,"Saída")=0,"",SUMPRODUCT(MAX((Movimentações!$F$4:$F$5000=A37)*(Movimentações!$D$4:$D$5000="Saída")*Movimentações!$B$4:$B$5000)))</f>
        <v/>
      </c>
    </row>
    <row r="38" spans="1:5" x14ac:dyDescent="0.25">
      <c r="A38" s="102" t="s">
        <v>73</v>
      </c>
      <c r="B38" s="93"/>
      <c r="C38" s="24">
        <f>SUM(C24:C37)</f>
        <v>290</v>
      </c>
      <c r="D38" s="29"/>
      <c r="E38" s="29"/>
    </row>
  </sheetData>
  <mergeCells count="16">
    <mergeCell ref="A1:N1"/>
    <mergeCell ref="M3:O3"/>
    <mergeCell ref="D3:F3"/>
    <mergeCell ref="A3:C3"/>
    <mergeCell ref="G3:I3"/>
    <mergeCell ref="G4:I4"/>
    <mergeCell ref="J4:L4"/>
    <mergeCell ref="A4:C4"/>
    <mergeCell ref="J3:L3"/>
    <mergeCell ref="K6:N6"/>
    <mergeCell ref="A38:B38"/>
    <mergeCell ref="A6:D6"/>
    <mergeCell ref="M4:O4"/>
    <mergeCell ref="D4:F4"/>
    <mergeCell ref="A22:E22"/>
    <mergeCell ref="F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J4" sqref="J4"/>
    </sheetView>
  </sheetViews>
  <sheetFormatPr defaultRowHeight="15" x14ac:dyDescent="0.25"/>
  <cols>
    <col min="1" max="1" width="22" customWidth="1"/>
    <col min="2" max="2" width="15" customWidth="1"/>
    <col min="3" max="4" width="9" customWidth="1"/>
    <col min="5" max="5" width="11" customWidth="1"/>
    <col min="6" max="6" width="12" customWidth="1"/>
    <col min="7" max="9" width="10" customWidth="1"/>
    <col min="10" max="10" width="13" customWidth="1"/>
    <col min="11" max="11" width="15" customWidth="1"/>
    <col min="12" max="12" width="18" customWidth="1"/>
    <col min="13" max="13" width="11" customWidth="1"/>
    <col min="14" max="14" width="12" customWidth="1"/>
    <col min="15" max="15" width="16" customWidth="1"/>
    <col min="16" max="16" width="12" customWidth="1"/>
    <col min="17" max="18" width="10" hidden="1" customWidth="1"/>
  </cols>
  <sheetData>
    <row r="1" spans="1:18" ht="50.1" customHeight="1" x14ac:dyDescent="0.25">
      <c r="A1" s="116" t="s">
        <v>93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8" ht="21.95" customHeight="1" x14ac:dyDescent="0.25">
      <c r="A2" s="117" t="s">
        <v>94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8" ht="42" customHeight="1" x14ac:dyDescent="0.25">
      <c r="A3" s="30" t="s">
        <v>56</v>
      </c>
      <c r="B3" s="30" t="s">
        <v>95</v>
      </c>
      <c r="C3" s="30" t="s">
        <v>96</v>
      </c>
      <c r="D3" s="30" t="s">
        <v>97</v>
      </c>
      <c r="E3" s="30" t="s">
        <v>98</v>
      </c>
      <c r="F3" s="30" t="s">
        <v>99</v>
      </c>
      <c r="G3" s="30" t="s">
        <v>100</v>
      </c>
      <c r="H3" s="30" t="s">
        <v>52</v>
      </c>
      <c r="I3" s="30" t="s">
        <v>53</v>
      </c>
      <c r="J3" s="30" t="s">
        <v>57</v>
      </c>
      <c r="K3" s="30" t="s">
        <v>101</v>
      </c>
      <c r="L3" s="30" t="s">
        <v>60</v>
      </c>
      <c r="M3" s="30" t="s">
        <v>102</v>
      </c>
      <c r="N3" s="30" t="s">
        <v>33</v>
      </c>
      <c r="O3" s="30" t="s">
        <v>35</v>
      </c>
      <c r="P3" s="30" t="s">
        <v>103</v>
      </c>
    </row>
    <row r="4" spans="1:18" x14ac:dyDescent="0.25">
      <c r="A4" s="5" t="str">
        <f>IF('Cad. Materiais'!B4="","",'Cad. Materiais'!B4)</f>
        <v>Resma de papel A4</v>
      </c>
      <c r="B4" s="31" t="str">
        <f>IFERROR(VLOOKUP(A4,'Cad. Materiais'!$B$4:$D$53,3,FALSE),"")</f>
        <v>Papel/Impressão</v>
      </c>
      <c r="C4" s="12" t="str">
        <f>IFERROR(VLOOKUP(A4,'Cad. Materiais'!$B$4:$C$53,2,FALSE),"")</f>
        <v>Unidade</v>
      </c>
      <c r="D4" s="32">
        <f>IFERROR(VLOOKUP(A4,'Cad. Materiais'!$B$4:$E$53,4,FALSE),0)</f>
        <v>5</v>
      </c>
      <c r="E4" s="32">
        <f>IFERROR(VLOOKUP(A4,'Cad. Materiais'!$B$4:$F$53,5,FALSE),0)</f>
        <v>16</v>
      </c>
      <c r="F4" s="33">
        <f>IFERROR(VLOOKUP(A4,'Cad. Materiais'!$B$4:$G$53,6,FALSE),0)</f>
        <v>28.5</v>
      </c>
      <c r="G4" s="34">
        <f>IFERROR(VLOOKUP(A4,'Cad. Materiais'!$B$4:$H$53,7,FALSE),0)</f>
        <v>7</v>
      </c>
      <c r="H4" s="6">
        <f>IFERROR(SUMIFS(Movimentações!$E$4:$E$5000,Movimentações!$C$4:$C$5000,A4,Movimentações!$D$4:$D$5000,"Entrada"),0)</f>
        <v>46</v>
      </c>
      <c r="I4" s="7">
        <f>IFERROR(SUMIFS(Movimentações!$E$4:$E$5000,Movimentações!$C$4:$C$5000,A4,Movimentações!$D$4:$D$5000,"Saída"),0)</f>
        <v>56</v>
      </c>
      <c r="J4" s="35">
        <f t="shared" ref="J4:J35" si="0">IF(A4="","",E4+H4-I4)</f>
        <v>6</v>
      </c>
      <c r="K4" s="36">
        <f t="shared" ref="K4:K35" si="1">IF(A4="","",J4*F4)</f>
        <v>171</v>
      </c>
      <c r="L4" s="37" t="str">
        <f t="shared" ref="L4:L35" si="2">IF(A4="","",IF(J4&lt;=0,"⚠ SEM ESTOQUE",IF(J4&lt;D4,"⬇ ABAIXO DO MÍN.",IF(J4&lt;D4*1.5,"➡ ATENÇÃO","✔ NORMAL"))))</f>
        <v>➡ ATENÇÃO</v>
      </c>
      <c r="M4" s="38">
        <f>IF(I4=0,0,IFERROR(I4/MAX(1,SUMPRODUCT(MAX((Movimentações!$C$4:$C$5000=A4)*(Movimentações!$D$4:$D$5000="Saída")*Movimentações!$B$4:$B$5000))-SUMPRODUCT(MIN(IF((Movimentações!$C$4:$C$5000=A4)*(Movimentações!$D$4:$D$5000="Saída")=1,Movimentações!$B$4:$B$5000)))+1),0))</f>
        <v>0.45528455284552843</v>
      </c>
      <c r="N4" s="39">
        <f t="shared" ref="N4:N35" si="3">IF(M4&lt;=0,"-",IF(J4&lt;=0,0,ROUND(J4/M4,0)))</f>
        <v>13</v>
      </c>
      <c r="O4" s="40">
        <f t="shared" ref="O4:O35" si="4">ROUND(M4*G4+D4,0)</f>
        <v>8</v>
      </c>
      <c r="P4" s="26">
        <f>IF(A4="","",IF(COUNTIF(Movimentações!$C$4:$C$5000,A4)=0,"Sem movim.",SUMPRODUCT(MAX((Movimentações!$C$4:$C$5000=A4)*Movimentações!$B$4:$B$5000))))</f>
        <v>46147</v>
      </c>
      <c r="Q4" s="41">
        <f t="shared" ref="Q4:Q35" si="5">IF(OR(L4="✔ NORMAL",L4="",A4=""),999999,(J4-D4)+ROW()/100000)</f>
        <v>1.00004</v>
      </c>
      <c r="R4" s="42">
        <f t="shared" ref="R4:R35" si="6">IF(I4=0,-ROW()/100000,I4+(1-ROW()/100000))</f>
        <v>56.999960000000002</v>
      </c>
    </row>
    <row r="5" spans="1:18" x14ac:dyDescent="0.25">
      <c r="A5" s="13" t="str">
        <f>IF('Cad. Materiais'!B5="","",'Cad. Materiais'!B5)</f>
        <v>Envelope Pardo</v>
      </c>
      <c r="B5" s="43" t="str">
        <f>IFERROR(VLOOKUP(A5,'Cad. Materiais'!$B$4:$D$53,3,FALSE),"")</f>
        <v>Envelopes</v>
      </c>
      <c r="C5" s="20" t="str">
        <f>IFERROR(VLOOKUP(A5,'Cad. Materiais'!$B$4:$C$53,2,FALSE),"")</f>
        <v>Unidade</v>
      </c>
      <c r="D5" s="44">
        <f>IFERROR(VLOOKUP(A5,'Cad. Materiais'!$B$4:$E$53,4,FALSE),0)</f>
        <v>10</v>
      </c>
      <c r="E5" s="44">
        <f>IFERROR(VLOOKUP(A5,'Cad. Materiais'!$B$4:$F$53,5,FALSE),0)</f>
        <v>5</v>
      </c>
      <c r="F5" s="45">
        <f>IFERROR(VLOOKUP(A5,'Cad. Materiais'!$B$4:$G$53,6,FALSE),0)</f>
        <v>0.8</v>
      </c>
      <c r="G5" s="46">
        <f>IFERROR(VLOOKUP(A5,'Cad. Materiais'!$B$4:$H$53,7,FALSE),0)</f>
        <v>5</v>
      </c>
      <c r="H5" s="14">
        <f>IFERROR(SUMIFS(Movimentações!$E$4:$E$5000,Movimentações!$C$4:$C$5000,A5,Movimentações!$D$4:$D$5000,"Entrada"),0)</f>
        <v>200</v>
      </c>
      <c r="I5" s="15">
        <f>IFERROR(SUMIFS(Movimentações!$E$4:$E$5000,Movimentações!$C$4:$C$5000,A5,Movimentações!$D$4:$D$5000,"Saída"),0)</f>
        <v>20</v>
      </c>
      <c r="J5" s="47">
        <f t="shared" si="0"/>
        <v>185</v>
      </c>
      <c r="K5" s="48">
        <f t="shared" si="1"/>
        <v>148</v>
      </c>
      <c r="L5" s="49" t="str">
        <f t="shared" si="2"/>
        <v>✔ NORMAL</v>
      </c>
      <c r="M5" s="50">
        <f>IF(I5=0,0,IFERROR(I5/MAX(1,SUMPRODUCT(MAX((Movimentações!$C$4:$C$5000=A5)*(Movimentações!$D$4:$D$5000="Saída")*Movimentações!$B$4:$B$5000))-SUMPRODUCT(MIN(IF((Movimentações!$C$4:$C$5000=A5)*(Movimentações!$D$4:$D$5000="Saída")=1,Movimentações!$B$4:$B$5000)))+1),0))</f>
        <v>4.3359493561115207E-4</v>
      </c>
      <c r="N5" s="51">
        <f t="shared" si="3"/>
        <v>426666</v>
      </c>
      <c r="O5" s="52">
        <f t="shared" si="4"/>
        <v>10</v>
      </c>
      <c r="P5" s="28">
        <f>IF(A5="","",IF(COUNTIF(Movimentações!$C$4:$C$5000,A5)=0,"Sem movim.",SUMPRODUCT(MAX((Movimentações!$C$4:$C$5000=A5)*Movimentações!$B$4:$B$5000))))</f>
        <v>46125</v>
      </c>
      <c r="Q5" s="53">
        <f t="shared" si="5"/>
        <v>999999</v>
      </c>
      <c r="R5" s="54">
        <f t="shared" si="6"/>
        <v>20.999949999999998</v>
      </c>
    </row>
    <row r="6" spans="1:18" x14ac:dyDescent="0.25">
      <c r="A6" s="5" t="str">
        <f>IF('Cad. Materiais'!B6="","",'Cad. Materiais'!B6)</f>
        <v>Clips</v>
      </c>
      <c r="B6" s="31" t="str">
        <f>IFERROR(VLOOKUP(A6,'Cad. Materiais'!$B$4:$D$53,3,FALSE),"")</f>
        <v>Escritório</v>
      </c>
      <c r="C6" s="12" t="str">
        <f>IFERROR(VLOOKUP(A6,'Cad. Materiais'!$B$4:$C$53,2,FALSE),"")</f>
        <v>Caixa</v>
      </c>
      <c r="D6" s="32">
        <f>IFERROR(VLOOKUP(A6,'Cad. Materiais'!$B$4:$E$53,4,FALSE),0)</f>
        <v>2</v>
      </c>
      <c r="E6" s="32">
        <f>IFERROR(VLOOKUP(A6,'Cad. Materiais'!$B$4:$F$53,5,FALSE),0)</f>
        <v>4</v>
      </c>
      <c r="F6" s="33">
        <f>IFERROR(VLOOKUP(A6,'Cad. Materiais'!$B$4:$G$53,6,FALSE),0)</f>
        <v>8.9</v>
      </c>
      <c r="G6" s="34">
        <f>IFERROR(VLOOKUP(A6,'Cad. Materiais'!$B$4:$H$53,7,FALSE),0)</f>
        <v>5</v>
      </c>
      <c r="H6" s="6">
        <f>IFERROR(SUMIFS(Movimentações!$E$4:$E$5000,Movimentações!$C$4:$C$5000,A6,Movimentações!$D$4:$D$5000,"Entrada"),0)</f>
        <v>0</v>
      </c>
      <c r="I6" s="7">
        <f>IFERROR(SUMIFS(Movimentações!$E$4:$E$5000,Movimentações!$C$4:$C$5000,A6,Movimentações!$D$4:$D$5000,"Saída"),0)</f>
        <v>1</v>
      </c>
      <c r="J6" s="35">
        <f t="shared" si="0"/>
        <v>3</v>
      </c>
      <c r="K6" s="36">
        <f t="shared" si="1"/>
        <v>26.700000000000003</v>
      </c>
      <c r="L6" s="37" t="str">
        <f t="shared" si="2"/>
        <v>✔ NORMAL</v>
      </c>
      <c r="M6" s="38">
        <f>IF(I6=0,0,IFERROR(I6/MAX(1,SUMPRODUCT(MAX((Movimentações!$C$4:$C$5000=A6)*(Movimentações!$D$4:$D$5000="Saída")*Movimentações!$B$4:$B$5000))-SUMPRODUCT(MIN(IF((Movimentações!$C$4:$C$5000=A6)*(Movimentações!$D$4:$D$5000="Saída")=1,Movimentações!$B$4:$B$5000)))+1),0))</f>
        <v>2.1726850041281015E-5</v>
      </c>
      <c r="N6" s="39">
        <f t="shared" si="3"/>
        <v>138078</v>
      </c>
      <c r="O6" s="40">
        <f t="shared" si="4"/>
        <v>2</v>
      </c>
      <c r="P6" s="26">
        <f>IF(A6="","",IF(COUNTIF(Movimentações!$C$4:$C$5000,A6)=0,"Sem movim.",SUMPRODUCT(MAX((Movimentações!$C$4:$C$5000=A6)*Movimentações!$B$4:$B$5000))))</f>
        <v>46025</v>
      </c>
      <c r="Q6" s="41">
        <f t="shared" si="5"/>
        <v>999999</v>
      </c>
      <c r="R6" s="42">
        <f t="shared" si="6"/>
        <v>1.9999400000000001</v>
      </c>
    </row>
    <row r="7" spans="1:18" x14ac:dyDescent="0.25">
      <c r="A7" s="13" t="str">
        <f>IF('Cad. Materiais'!B7="","",'Cad. Materiais'!B7)</f>
        <v>Envelope Janelado</v>
      </c>
      <c r="B7" s="43" t="str">
        <f>IFERROR(VLOOKUP(A7,'Cad. Materiais'!$B$4:$D$53,3,FALSE),"")</f>
        <v>Envelopes</v>
      </c>
      <c r="C7" s="20" t="str">
        <f>IFERROR(VLOOKUP(A7,'Cad. Materiais'!$B$4:$C$53,2,FALSE),"")</f>
        <v>Unidade</v>
      </c>
      <c r="D7" s="44">
        <f>IFERROR(VLOOKUP(A7,'Cad. Materiais'!$B$4:$E$53,4,FALSE),0)</f>
        <v>50</v>
      </c>
      <c r="E7" s="44">
        <f>IFERROR(VLOOKUP(A7,'Cad. Materiais'!$B$4:$F$53,5,FALSE),0)</f>
        <v>500</v>
      </c>
      <c r="F7" s="45">
        <f>IFERROR(VLOOKUP(A7,'Cad. Materiais'!$B$4:$G$53,6,FALSE),0)</f>
        <v>0.45</v>
      </c>
      <c r="G7" s="46">
        <f>IFERROR(VLOOKUP(A7,'Cad. Materiais'!$B$4:$H$53,7,FALSE),0)</f>
        <v>10</v>
      </c>
      <c r="H7" s="14">
        <f>IFERROR(SUMIFS(Movimentações!$E$4:$E$5000,Movimentações!$C$4:$C$5000,A7,Movimentações!$D$4:$D$5000,"Entrada"),0)</f>
        <v>0</v>
      </c>
      <c r="I7" s="15">
        <f>IFERROR(SUMIFS(Movimentações!$E$4:$E$5000,Movimentações!$C$4:$C$5000,A7,Movimentações!$D$4:$D$5000,"Saída"),0)</f>
        <v>198</v>
      </c>
      <c r="J7" s="47">
        <f t="shared" si="0"/>
        <v>302</v>
      </c>
      <c r="K7" s="48">
        <f t="shared" si="1"/>
        <v>135.9</v>
      </c>
      <c r="L7" s="49" t="str">
        <f t="shared" si="2"/>
        <v>✔ NORMAL</v>
      </c>
      <c r="M7" s="50">
        <f>IF(I7=0,0,IFERROR(I7/MAX(1,SUMPRODUCT(MAX((Movimentações!$C$4:$C$5000=A7)*(Movimentações!$D$4:$D$5000="Saída")*Movimentações!$B$4:$B$5000))-SUMPRODUCT(MIN(IF((Movimentações!$C$4:$C$5000=A7)*(Movimentações!$D$4:$D$5000="Saída")=1,Movimentações!$B$4:$B$5000)))+1),0))</f>
        <v>4.2938931297709926E-3</v>
      </c>
      <c r="N7" s="51">
        <f t="shared" si="3"/>
        <v>70332</v>
      </c>
      <c r="O7" s="52">
        <f t="shared" si="4"/>
        <v>50</v>
      </c>
      <c r="P7" s="28">
        <f>IF(A7="","",IF(COUNTIF(Movimentações!$C$4:$C$5000,A7)=0,"Sem movim.",SUMPRODUCT(MAX((Movimentações!$C$4:$C$5000=A7)*Movimentações!$B$4:$B$5000))))</f>
        <v>46111</v>
      </c>
      <c r="Q7" s="53">
        <f t="shared" si="5"/>
        <v>999999</v>
      </c>
      <c r="R7" s="54">
        <f t="shared" si="6"/>
        <v>198.99993000000001</v>
      </c>
    </row>
    <row r="8" spans="1:18" x14ac:dyDescent="0.25">
      <c r="A8" s="5" t="str">
        <f>IF('Cad. Materiais'!B8="","",'Cad. Materiais'!B8)</f>
        <v>Post-IT</v>
      </c>
      <c r="B8" s="31" t="str">
        <f>IFERROR(VLOOKUP(A8,'Cad. Materiais'!$B$4:$D$53,3,FALSE),"")</f>
        <v>Escritório</v>
      </c>
      <c r="C8" s="12" t="str">
        <f>IFERROR(VLOOKUP(A8,'Cad. Materiais'!$B$4:$C$53,2,FALSE),"")</f>
        <v>Unidade</v>
      </c>
      <c r="D8" s="32">
        <f>IFERROR(VLOOKUP(A8,'Cad. Materiais'!$B$4:$E$53,4,FALSE),0)</f>
        <v>2</v>
      </c>
      <c r="E8" s="32">
        <f>IFERROR(VLOOKUP(A8,'Cad. Materiais'!$B$4:$F$53,5,FALSE),0)</f>
        <v>0</v>
      </c>
      <c r="F8" s="33">
        <f>IFERROR(VLOOKUP(A8,'Cad. Materiais'!$B$4:$G$53,6,FALSE),0)</f>
        <v>12.5</v>
      </c>
      <c r="G8" s="34">
        <f>IFERROR(VLOOKUP(A8,'Cad. Materiais'!$B$4:$H$53,7,FALSE),0)</f>
        <v>7</v>
      </c>
      <c r="H8" s="6">
        <f>IFERROR(SUMIFS(Movimentações!$E$4:$E$5000,Movimentações!$C$4:$C$5000,A8,Movimentações!$D$4:$D$5000,"Entrada"),0)</f>
        <v>0</v>
      </c>
      <c r="I8" s="7">
        <f>IFERROR(SUMIFS(Movimentações!$E$4:$E$5000,Movimentações!$C$4:$C$5000,A8,Movimentações!$D$4:$D$5000,"Saída"),0)</f>
        <v>0</v>
      </c>
      <c r="J8" s="35">
        <f t="shared" si="0"/>
        <v>0</v>
      </c>
      <c r="K8" s="36">
        <f t="shared" si="1"/>
        <v>0</v>
      </c>
      <c r="L8" s="37" t="str">
        <f t="shared" si="2"/>
        <v>⚠ SEM ESTOQUE</v>
      </c>
      <c r="M8" s="38">
        <f>IF(I8=0,0,IFERROR(I8/MAX(1,SUMPRODUCT(MAX((Movimentações!$C$4:$C$5000=A8)*(Movimentações!$D$4:$D$5000="Saída")*Movimentações!$B$4:$B$5000))-SUMPRODUCT(MIN(IF((Movimentações!$C$4:$C$5000=A8)*(Movimentações!$D$4:$D$5000="Saída")=1,Movimentações!$B$4:$B$5000)))+1),0))</f>
        <v>0</v>
      </c>
      <c r="N8" s="39" t="str">
        <f t="shared" si="3"/>
        <v>-</v>
      </c>
      <c r="O8" s="40">
        <f t="shared" si="4"/>
        <v>2</v>
      </c>
      <c r="P8" s="26" t="str">
        <f>IF(A8="","",IF(COUNTIF(Movimentações!$C$4:$C$5000,A8)=0,"Sem movim.",SUMPRODUCT(MAX((Movimentações!$C$4:$C$5000=A8)*Movimentações!$B$4:$B$5000))))</f>
        <v>Sem movim.</v>
      </c>
      <c r="Q8" s="41">
        <f t="shared" si="5"/>
        <v>-1.9999199999999999</v>
      </c>
      <c r="R8" s="42">
        <f t="shared" si="6"/>
        <v>-8.0000000000000007E-5</v>
      </c>
    </row>
    <row r="9" spans="1:18" x14ac:dyDescent="0.25">
      <c r="A9" s="13" t="str">
        <f>IF('Cad. Materiais'!B9="","",'Cad. Materiais'!B9)</f>
        <v>Marcador de texto</v>
      </c>
      <c r="B9" s="43" t="str">
        <f>IFERROR(VLOOKUP(A9,'Cad. Materiais'!$B$4:$D$53,3,FALSE),"")</f>
        <v>Escritório</v>
      </c>
      <c r="C9" s="20" t="str">
        <f>IFERROR(VLOOKUP(A9,'Cad. Materiais'!$B$4:$C$53,2,FALSE),"")</f>
        <v>Unidade</v>
      </c>
      <c r="D9" s="44">
        <f>IFERROR(VLOOKUP(A9,'Cad. Materiais'!$B$4:$E$53,4,FALSE),0)</f>
        <v>2</v>
      </c>
      <c r="E9" s="44">
        <f>IFERROR(VLOOKUP(A9,'Cad. Materiais'!$B$4:$F$53,5,FALSE),0)</f>
        <v>0</v>
      </c>
      <c r="F9" s="45">
        <f>IFERROR(VLOOKUP(A9,'Cad. Materiais'!$B$4:$G$53,6,FALSE),0)</f>
        <v>4.2</v>
      </c>
      <c r="G9" s="46">
        <f>IFERROR(VLOOKUP(A9,'Cad. Materiais'!$B$4:$H$53,7,FALSE),0)</f>
        <v>7</v>
      </c>
      <c r="H9" s="14">
        <f>IFERROR(SUMIFS(Movimentações!$E$4:$E$5000,Movimentações!$C$4:$C$5000,A9,Movimentações!$D$4:$D$5000,"Entrada"),0)</f>
        <v>0</v>
      </c>
      <c r="I9" s="15">
        <f>IFERROR(SUMIFS(Movimentações!$E$4:$E$5000,Movimentações!$C$4:$C$5000,A9,Movimentações!$D$4:$D$5000,"Saída"),0)</f>
        <v>0</v>
      </c>
      <c r="J9" s="47">
        <f t="shared" si="0"/>
        <v>0</v>
      </c>
      <c r="K9" s="48">
        <f t="shared" si="1"/>
        <v>0</v>
      </c>
      <c r="L9" s="49" t="str">
        <f t="shared" si="2"/>
        <v>⚠ SEM ESTOQUE</v>
      </c>
      <c r="M9" s="50">
        <f>IF(I9=0,0,IFERROR(I9/MAX(1,SUMPRODUCT(MAX((Movimentações!$C$4:$C$5000=A9)*(Movimentações!$D$4:$D$5000="Saída")*Movimentações!$B$4:$B$5000))-SUMPRODUCT(MIN(IF((Movimentações!$C$4:$C$5000=A9)*(Movimentações!$D$4:$D$5000="Saída")=1,Movimentações!$B$4:$B$5000)))+1),0))</f>
        <v>0</v>
      </c>
      <c r="N9" s="51" t="str">
        <f t="shared" si="3"/>
        <v>-</v>
      </c>
      <c r="O9" s="52">
        <f t="shared" si="4"/>
        <v>2</v>
      </c>
      <c r="P9" s="28" t="str">
        <f>IF(A9="","",IF(COUNTIF(Movimentações!$C$4:$C$5000,A9)=0,"Sem movim.",SUMPRODUCT(MAX((Movimentações!$C$4:$C$5000=A9)*Movimentações!$B$4:$B$5000))))</f>
        <v>Sem movim.</v>
      </c>
      <c r="Q9" s="53">
        <f t="shared" si="5"/>
        <v>-1.9999100000000001</v>
      </c>
      <c r="R9" s="54">
        <f t="shared" si="6"/>
        <v>-9.0000000000000006E-5</v>
      </c>
    </row>
    <row r="10" spans="1:18" x14ac:dyDescent="0.25">
      <c r="A10" s="5" t="str">
        <f>IF('Cad. Materiais'!B10="","",'Cad. Materiais'!B10)</f>
        <v>Caneta Azul</v>
      </c>
      <c r="B10" s="31" t="str">
        <f>IFERROR(VLOOKUP(A10,'Cad. Materiais'!$B$4:$D$53,3,FALSE),"")</f>
        <v>Escritório</v>
      </c>
      <c r="C10" s="12" t="str">
        <f>IFERROR(VLOOKUP(A10,'Cad. Materiais'!$B$4:$C$53,2,FALSE),"")</f>
        <v>Unidade</v>
      </c>
      <c r="D10" s="32">
        <f>IFERROR(VLOOKUP(A10,'Cad. Materiais'!$B$4:$E$53,4,FALSE),0)</f>
        <v>5</v>
      </c>
      <c r="E10" s="32">
        <f>IFERROR(VLOOKUP(A10,'Cad. Materiais'!$B$4:$F$53,5,FALSE),0)</f>
        <v>0</v>
      </c>
      <c r="F10" s="33">
        <f>IFERROR(VLOOKUP(A10,'Cad. Materiais'!$B$4:$G$53,6,FALSE),0)</f>
        <v>2.8</v>
      </c>
      <c r="G10" s="34">
        <f>IFERROR(VLOOKUP(A10,'Cad. Materiais'!$B$4:$H$53,7,FALSE),0)</f>
        <v>3</v>
      </c>
      <c r="H10" s="6">
        <f>IFERROR(SUMIFS(Movimentações!$E$4:$E$5000,Movimentações!$C$4:$C$5000,A10,Movimentações!$D$4:$D$5000,"Entrada"),0)</f>
        <v>50</v>
      </c>
      <c r="I10" s="7">
        <f>IFERROR(SUMIFS(Movimentações!$E$4:$E$5000,Movimentações!$C$4:$C$5000,A10,Movimentações!$D$4:$D$5000,"Saída"),0)</f>
        <v>6</v>
      </c>
      <c r="J10" s="35">
        <f t="shared" si="0"/>
        <v>44</v>
      </c>
      <c r="K10" s="36">
        <f t="shared" si="1"/>
        <v>123.19999999999999</v>
      </c>
      <c r="L10" s="37" t="str">
        <f t="shared" si="2"/>
        <v>✔ NORMAL</v>
      </c>
      <c r="M10" s="38">
        <f>IF(I10=0,0,IFERROR(I10/MAX(1,SUMPRODUCT(MAX((Movimentações!$C$4:$C$5000=A10)*(Movimentações!$D$4:$D$5000="Saída")*Movimentações!$B$4:$B$5000))-SUMPRODUCT(MIN(IF((Movimentações!$C$4:$C$5000=A10)*(Movimentações!$D$4:$D$5000="Saída")=1,Movimentações!$B$4:$B$5000)))+1),0))</f>
        <v>1.3007566067595985E-4</v>
      </c>
      <c r="N10" s="39">
        <f t="shared" si="3"/>
        <v>338265</v>
      </c>
      <c r="O10" s="40">
        <f t="shared" si="4"/>
        <v>5</v>
      </c>
      <c r="P10" s="26">
        <f>IF(A10="","",IF(COUNTIF(Movimentações!$C$4:$C$5000,A10)=0,"Sem movim.",SUMPRODUCT(MAX((Movimentações!$C$4:$C$5000=A10)*Movimentações!$B$4:$B$5000))))</f>
        <v>46126</v>
      </c>
      <c r="Q10" s="41">
        <f t="shared" si="5"/>
        <v>999999</v>
      </c>
      <c r="R10" s="42">
        <f t="shared" si="6"/>
        <v>6.9999000000000002</v>
      </c>
    </row>
    <row r="11" spans="1:18" x14ac:dyDescent="0.25">
      <c r="A11" s="13" t="str">
        <f>IF('Cad. Materiais'!B11="","",'Cad. Materiais'!B11)</f>
        <v>Cola</v>
      </c>
      <c r="B11" s="43" t="str">
        <f>IFERROR(VLOOKUP(A11,'Cad. Materiais'!$B$4:$D$53,3,FALSE),"")</f>
        <v>Escritório</v>
      </c>
      <c r="C11" s="20" t="str">
        <f>IFERROR(VLOOKUP(A11,'Cad. Materiais'!$B$4:$C$53,2,FALSE),"")</f>
        <v>Tubo</v>
      </c>
      <c r="D11" s="44">
        <f>IFERROR(VLOOKUP(A11,'Cad. Materiais'!$B$4:$E$53,4,FALSE),0)</f>
        <v>2</v>
      </c>
      <c r="E11" s="44">
        <f>IFERROR(VLOOKUP(A11,'Cad. Materiais'!$B$4:$F$53,5,FALSE),0)</f>
        <v>1</v>
      </c>
      <c r="F11" s="45">
        <f>IFERROR(VLOOKUP(A11,'Cad. Materiais'!$B$4:$G$53,6,FALSE),0)</f>
        <v>3.5</v>
      </c>
      <c r="G11" s="46">
        <f>IFERROR(VLOOKUP(A11,'Cad. Materiais'!$B$4:$H$53,7,FALSE),0)</f>
        <v>7</v>
      </c>
      <c r="H11" s="14">
        <f>IFERROR(SUMIFS(Movimentações!$E$4:$E$5000,Movimentações!$C$4:$C$5000,A11,Movimentações!$D$4:$D$5000,"Entrada"),0)</f>
        <v>0</v>
      </c>
      <c r="I11" s="15">
        <f>IFERROR(SUMIFS(Movimentações!$E$4:$E$5000,Movimentações!$C$4:$C$5000,A11,Movimentações!$D$4:$D$5000,"Saída"),0)</f>
        <v>0</v>
      </c>
      <c r="J11" s="47">
        <f t="shared" si="0"/>
        <v>1</v>
      </c>
      <c r="K11" s="48">
        <f t="shared" si="1"/>
        <v>3.5</v>
      </c>
      <c r="L11" s="49" t="str">
        <f t="shared" si="2"/>
        <v>⬇ ABAIXO DO MÍN.</v>
      </c>
      <c r="M11" s="50">
        <f>IF(I11=0,0,IFERROR(I11/MAX(1,SUMPRODUCT(MAX((Movimentações!$C$4:$C$5000=A11)*(Movimentações!$D$4:$D$5000="Saída")*Movimentações!$B$4:$B$5000))-SUMPRODUCT(MIN(IF((Movimentações!$C$4:$C$5000=A11)*(Movimentações!$D$4:$D$5000="Saída")=1,Movimentações!$B$4:$B$5000)))+1),0))</f>
        <v>0</v>
      </c>
      <c r="N11" s="51" t="str">
        <f t="shared" si="3"/>
        <v>-</v>
      </c>
      <c r="O11" s="52">
        <f t="shared" si="4"/>
        <v>2</v>
      </c>
      <c r="P11" s="28" t="str">
        <f>IF(A11="","",IF(COUNTIF(Movimentações!$C$4:$C$5000,A11)=0,"Sem movim.",SUMPRODUCT(MAX((Movimentações!$C$4:$C$5000=A11)*Movimentações!$B$4:$B$5000))))</f>
        <v>Sem movim.</v>
      </c>
      <c r="Q11" s="53">
        <f t="shared" si="5"/>
        <v>-0.99988999999999995</v>
      </c>
      <c r="R11" s="54">
        <f t="shared" si="6"/>
        <v>-1.1E-4</v>
      </c>
    </row>
    <row r="12" spans="1:18" x14ac:dyDescent="0.25">
      <c r="A12" s="5" t="str">
        <f>IF('Cad. Materiais'!B12="","",'Cad. Materiais'!B12)</f>
        <v>Grampo normal</v>
      </c>
      <c r="B12" s="31" t="str">
        <f>IFERROR(VLOOKUP(A12,'Cad. Materiais'!$B$4:$D$53,3,FALSE),"")</f>
        <v>Escritório</v>
      </c>
      <c r="C12" s="12" t="str">
        <f>IFERROR(VLOOKUP(A12,'Cad. Materiais'!$B$4:$C$53,2,FALSE),"")</f>
        <v>Caixa</v>
      </c>
      <c r="D12" s="32">
        <f>IFERROR(VLOOKUP(A12,'Cad. Materiais'!$B$4:$E$53,4,FALSE),0)</f>
        <v>1</v>
      </c>
      <c r="E12" s="32">
        <f>IFERROR(VLOOKUP(A12,'Cad. Materiais'!$B$4:$F$53,5,FALSE),0)</f>
        <v>2</v>
      </c>
      <c r="F12" s="33">
        <f>IFERROR(VLOOKUP(A12,'Cad. Materiais'!$B$4:$G$53,6,FALSE),0)</f>
        <v>6</v>
      </c>
      <c r="G12" s="34">
        <f>IFERROR(VLOOKUP(A12,'Cad. Materiais'!$B$4:$H$53,7,FALSE),0)</f>
        <v>7</v>
      </c>
      <c r="H12" s="6">
        <f>IFERROR(SUMIFS(Movimentações!$E$4:$E$5000,Movimentações!$C$4:$C$5000,A12,Movimentações!$D$4:$D$5000,"Entrada"),0)</f>
        <v>0</v>
      </c>
      <c r="I12" s="7">
        <f>IFERROR(SUMIFS(Movimentações!$E$4:$E$5000,Movimentações!$C$4:$C$5000,A12,Movimentações!$D$4:$D$5000,"Saída"),0)</f>
        <v>2</v>
      </c>
      <c r="J12" s="35">
        <f t="shared" si="0"/>
        <v>0</v>
      </c>
      <c r="K12" s="36">
        <f t="shared" si="1"/>
        <v>0</v>
      </c>
      <c r="L12" s="37" t="str">
        <f t="shared" si="2"/>
        <v>⚠ SEM ESTOQUE</v>
      </c>
      <c r="M12" s="38">
        <f>IF(I12=0,0,IFERROR(I12/MAX(1,SUMPRODUCT(MAX((Movimentações!$C$4:$C$5000=A12)*(Movimentações!$D$4:$D$5000="Saída")*Movimentações!$B$4:$B$5000))-SUMPRODUCT(MIN(IF((Movimentações!$C$4:$C$5000=A12)*(Movimentações!$D$4:$D$5000="Saída")=1,Movimentações!$B$4:$B$5000)))+1),0))</f>
        <v>4.3370776770611964E-5</v>
      </c>
      <c r="N12" s="39">
        <f t="shared" si="3"/>
        <v>0</v>
      </c>
      <c r="O12" s="40">
        <f t="shared" si="4"/>
        <v>1</v>
      </c>
      <c r="P12" s="26">
        <f>IF(A12="","",IF(COUNTIF(Movimentações!$C$4:$C$5000,A12)=0,"Sem movim.",SUMPRODUCT(MAX((Movimentações!$C$4:$C$5000=A12)*Movimentações!$B$4:$B$5000))))</f>
        <v>46113</v>
      </c>
      <c r="Q12" s="41">
        <f t="shared" si="5"/>
        <v>-0.99987999999999999</v>
      </c>
      <c r="R12" s="42">
        <f t="shared" si="6"/>
        <v>2.9998800000000001</v>
      </c>
    </row>
    <row r="13" spans="1:18" x14ac:dyDescent="0.25">
      <c r="A13" s="13" t="str">
        <f>IF('Cad. Materiais'!B13="","",'Cad. Materiais'!B13)</f>
        <v>Grampo 23/10</v>
      </c>
      <c r="B13" s="43" t="str">
        <f>IFERROR(VLOOKUP(A13,'Cad. Materiais'!$B$4:$D$53,3,FALSE),"")</f>
        <v>Escritório</v>
      </c>
      <c r="C13" s="20" t="str">
        <f>IFERROR(VLOOKUP(A13,'Cad. Materiais'!$B$4:$C$53,2,FALSE),"")</f>
        <v>Caixa</v>
      </c>
      <c r="D13" s="44">
        <f>IFERROR(VLOOKUP(A13,'Cad. Materiais'!$B$4:$E$53,4,FALSE),0)</f>
        <v>1</v>
      </c>
      <c r="E13" s="44">
        <f>IFERROR(VLOOKUP(A13,'Cad. Materiais'!$B$4:$F$53,5,FALSE),0)</f>
        <v>2</v>
      </c>
      <c r="F13" s="45">
        <f>IFERROR(VLOOKUP(A13,'Cad. Materiais'!$B$4:$G$53,6,FALSE),0)</f>
        <v>9.5</v>
      </c>
      <c r="G13" s="46">
        <f>IFERROR(VLOOKUP(A13,'Cad. Materiais'!$B$4:$H$53,7,FALSE),0)</f>
        <v>7</v>
      </c>
      <c r="H13" s="14">
        <f>IFERROR(SUMIFS(Movimentações!$E$4:$E$5000,Movimentações!$C$4:$C$5000,A13,Movimentações!$D$4:$D$5000,"Entrada"),0)</f>
        <v>0</v>
      </c>
      <c r="I13" s="15">
        <f>IFERROR(SUMIFS(Movimentações!$E$4:$E$5000,Movimentações!$C$4:$C$5000,A13,Movimentações!$D$4:$D$5000,"Saída"),0)</f>
        <v>0</v>
      </c>
      <c r="J13" s="47">
        <f t="shared" si="0"/>
        <v>2</v>
      </c>
      <c r="K13" s="48">
        <f t="shared" si="1"/>
        <v>19</v>
      </c>
      <c r="L13" s="49" t="str">
        <f t="shared" si="2"/>
        <v>✔ NORMAL</v>
      </c>
      <c r="M13" s="50">
        <f>IF(I13=0,0,IFERROR(I13/MAX(1,SUMPRODUCT(MAX((Movimentações!$C$4:$C$5000=A13)*(Movimentações!$D$4:$D$5000="Saída")*Movimentações!$B$4:$B$5000))-SUMPRODUCT(MIN(IF((Movimentações!$C$4:$C$5000=A13)*(Movimentações!$D$4:$D$5000="Saída")=1,Movimentações!$B$4:$B$5000)))+1),0))</f>
        <v>0</v>
      </c>
      <c r="N13" s="51" t="str">
        <f t="shared" si="3"/>
        <v>-</v>
      </c>
      <c r="O13" s="52">
        <f t="shared" si="4"/>
        <v>1</v>
      </c>
      <c r="P13" s="28" t="str">
        <f>IF(A13="","",IF(COUNTIF(Movimentações!$C$4:$C$5000,A13)=0,"Sem movim.",SUMPRODUCT(MAX((Movimentações!$C$4:$C$5000=A13)*Movimentações!$B$4:$B$5000))))</f>
        <v>Sem movim.</v>
      </c>
      <c r="Q13" s="53">
        <f t="shared" si="5"/>
        <v>999999</v>
      </c>
      <c r="R13" s="54">
        <f t="shared" si="6"/>
        <v>-1.2999999999999999E-4</v>
      </c>
    </row>
    <row r="14" spans="1:18" x14ac:dyDescent="0.25">
      <c r="A14" s="5" t="str">
        <f>IF('Cad. Materiais'!B14="","",'Cad. Materiais'!B14)</f>
        <v>Elástico</v>
      </c>
      <c r="B14" s="31" t="str">
        <f>IFERROR(VLOOKUP(A14,'Cad. Materiais'!$B$4:$D$53,3,FALSE),"")</f>
        <v>Escritório</v>
      </c>
      <c r="C14" s="12" t="str">
        <f>IFERROR(VLOOKUP(A14,'Cad. Materiais'!$B$4:$C$53,2,FALSE),"")</f>
        <v>Pacote</v>
      </c>
      <c r="D14" s="32">
        <f>IFERROR(VLOOKUP(A14,'Cad. Materiais'!$B$4:$E$53,4,FALSE),0)</f>
        <v>2</v>
      </c>
      <c r="E14" s="32">
        <f>IFERROR(VLOOKUP(A14,'Cad. Materiais'!$B$4:$F$53,5,FALSE),0)</f>
        <v>12</v>
      </c>
      <c r="F14" s="33">
        <f>IFERROR(VLOOKUP(A14,'Cad. Materiais'!$B$4:$G$53,6,FALSE),0)</f>
        <v>5.2</v>
      </c>
      <c r="G14" s="34">
        <f>IFERROR(VLOOKUP(A14,'Cad. Materiais'!$B$4:$H$53,7,FALSE),0)</f>
        <v>10</v>
      </c>
      <c r="H14" s="6">
        <f>IFERROR(SUMIFS(Movimentações!$E$4:$E$5000,Movimentações!$C$4:$C$5000,A14,Movimentações!$D$4:$D$5000,"Entrada"),0)</f>
        <v>0</v>
      </c>
      <c r="I14" s="7">
        <f>IFERROR(SUMIFS(Movimentações!$E$4:$E$5000,Movimentações!$C$4:$C$5000,A14,Movimentações!$D$4:$D$5000,"Saída"),0)</f>
        <v>3</v>
      </c>
      <c r="J14" s="35">
        <f t="shared" si="0"/>
        <v>9</v>
      </c>
      <c r="K14" s="36">
        <f t="shared" si="1"/>
        <v>46.800000000000004</v>
      </c>
      <c r="L14" s="37" t="str">
        <f t="shared" si="2"/>
        <v>✔ NORMAL</v>
      </c>
      <c r="M14" s="38">
        <f>IF(I14=0,0,IFERROR(I14/MAX(1,SUMPRODUCT(MAX((Movimentações!$C$4:$C$5000=A14)*(Movimentações!$D$4:$D$5000="Saída")*Movimentações!$B$4:$B$5000))-SUMPRODUCT(MIN(IF((Movimentações!$C$4:$C$5000=A14)*(Movimentações!$D$4:$D$5000="Saída")=1,Movimentações!$B$4:$B$5000)))+1),0))</f>
        <v>6.5097103178908536E-5</v>
      </c>
      <c r="N14" s="39">
        <f t="shared" si="3"/>
        <v>138255</v>
      </c>
      <c r="O14" s="40">
        <f t="shared" si="4"/>
        <v>2</v>
      </c>
      <c r="P14" s="26">
        <f>IF(A14="","",IF(COUNTIF(Movimentações!$C$4:$C$5000,A14)=0,"Sem movim.",SUMPRODUCT(MAX((Movimentações!$C$4:$C$5000=A14)*Movimentações!$B$4:$B$5000))))</f>
        <v>46084</v>
      </c>
      <c r="Q14" s="41">
        <f t="shared" si="5"/>
        <v>999999</v>
      </c>
      <c r="R14" s="42">
        <f t="shared" si="6"/>
        <v>3.99986</v>
      </c>
    </row>
    <row r="15" spans="1:18" x14ac:dyDescent="0.25">
      <c r="A15" s="13" t="str">
        <f>IF('Cad. Materiais'!B15="","",'Cad. Materiais'!B15)</f>
        <v>Durex grande</v>
      </c>
      <c r="B15" s="43" t="str">
        <f>IFERROR(VLOOKUP(A15,'Cad. Materiais'!$B$4:$D$53,3,FALSE),"")</f>
        <v>Escritório</v>
      </c>
      <c r="C15" s="20" t="str">
        <f>IFERROR(VLOOKUP(A15,'Cad. Materiais'!$B$4:$C$53,2,FALSE),"")</f>
        <v>Unidade</v>
      </c>
      <c r="D15" s="44">
        <f>IFERROR(VLOOKUP(A15,'Cad. Materiais'!$B$4:$E$53,4,FALSE),0)</f>
        <v>2</v>
      </c>
      <c r="E15" s="44">
        <f>IFERROR(VLOOKUP(A15,'Cad. Materiais'!$B$4:$F$53,5,FALSE),0)</f>
        <v>0</v>
      </c>
      <c r="F15" s="45">
        <f>IFERROR(VLOOKUP(A15,'Cad. Materiais'!$B$4:$G$53,6,FALSE),0)</f>
        <v>8.9</v>
      </c>
      <c r="G15" s="46">
        <f>IFERROR(VLOOKUP(A15,'Cad. Materiais'!$B$4:$H$53,7,FALSE),0)</f>
        <v>7</v>
      </c>
      <c r="H15" s="14">
        <f>IFERROR(SUMIFS(Movimentações!$E$4:$E$5000,Movimentações!$C$4:$C$5000,A15,Movimentações!$D$4:$D$5000,"Entrada"),0)</f>
        <v>0</v>
      </c>
      <c r="I15" s="15">
        <f>IFERROR(SUMIFS(Movimentações!$E$4:$E$5000,Movimentações!$C$4:$C$5000,A15,Movimentações!$D$4:$D$5000,"Saída"),0)</f>
        <v>0</v>
      </c>
      <c r="J15" s="47">
        <f t="shared" si="0"/>
        <v>0</v>
      </c>
      <c r="K15" s="48">
        <f t="shared" si="1"/>
        <v>0</v>
      </c>
      <c r="L15" s="49" t="str">
        <f t="shared" si="2"/>
        <v>⚠ SEM ESTOQUE</v>
      </c>
      <c r="M15" s="50">
        <f>IF(I15=0,0,IFERROR(I15/MAX(1,SUMPRODUCT(MAX((Movimentações!$C$4:$C$5000=A15)*(Movimentações!$D$4:$D$5000="Saída")*Movimentações!$B$4:$B$5000))-SUMPRODUCT(MIN(IF((Movimentações!$C$4:$C$5000=A15)*(Movimentações!$D$4:$D$5000="Saída")=1,Movimentações!$B$4:$B$5000)))+1),0))</f>
        <v>0</v>
      </c>
      <c r="N15" s="51" t="str">
        <f t="shared" si="3"/>
        <v>-</v>
      </c>
      <c r="O15" s="52">
        <f t="shared" si="4"/>
        <v>2</v>
      </c>
      <c r="P15" s="28" t="str">
        <f>IF(A15="","",IF(COUNTIF(Movimentações!$C$4:$C$5000,A15)=0,"Sem movim.",SUMPRODUCT(MAX((Movimentações!$C$4:$C$5000=A15)*Movimentações!$B$4:$B$5000))))</f>
        <v>Sem movim.</v>
      </c>
      <c r="Q15" s="53">
        <f t="shared" si="5"/>
        <v>-1.9998499999999999</v>
      </c>
      <c r="R15" s="54">
        <f t="shared" si="6"/>
        <v>-1.4999999999999999E-4</v>
      </c>
    </row>
    <row r="16" spans="1:18" x14ac:dyDescent="0.25">
      <c r="A16" s="5" t="str">
        <f>IF('Cad. Materiais'!B16="","",'Cad. Materiais'!B16)</f>
        <v>Durex pequeno</v>
      </c>
      <c r="B16" s="31" t="str">
        <f>IFERROR(VLOOKUP(A16,'Cad. Materiais'!$B$4:$D$53,3,FALSE),"")</f>
        <v>Escritório</v>
      </c>
      <c r="C16" s="12" t="str">
        <f>IFERROR(VLOOKUP(A16,'Cad. Materiais'!$B$4:$C$53,2,FALSE),"")</f>
        <v>Unidade</v>
      </c>
      <c r="D16" s="32">
        <f>IFERROR(VLOOKUP(A16,'Cad. Materiais'!$B$4:$E$53,4,FALSE),0)</f>
        <v>2</v>
      </c>
      <c r="E16" s="32">
        <f>IFERROR(VLOOKUP(A16,'Cad. Materiais'!$B$4:$F$53,5,FALSE),0)</f>
        <v>3</v>
      </c>
      <c r="F16" s="33">
        <f>IFERROR(VLOOKUP(A16,'Cad. Materiais'!$B$4:$G$53,6,FALSE),0)</f>
        <v>3.5</v>
      </c>
      <c r="G16" s="34">
        <f>IFERROR(VLOOKUP(A16,'Cad. Materiais'!$B$4:$H$53,7,FALSE),0)</f>
        <v>7</v>
      </c>
      <c r="H16" s="6">
        <f>IFERROR(SUMIFS(Movimentações!$E$4:$E$5000,Movimentações!$C$4:$C$5000,A16,Movimentações!$D$4:$D$5000,"Entrada"),0)</f>
        <v>0</v>
      </c>
      <c r="I16" s="7">
        <f>IFERROR(SUMIFS(Movimentações!$E$4:$E$5000,Movimentações!$C$4:$C$5000,A16,Movimentações!$D$4:$D$5000,"Saída"),0)</f>
        <v>0</v>
      </c>
      <c r="J16" s="35">
        <f t="shared" si="0"/>
        <v>3</v>
      </c>
      <c r="K16" s="36">
        <f t="shared" si="1"/>
        <v>10.5</v>
      </c>
      <c r="L16" s="37" t="str">
        <f t="shared" si="2"/>
        <v>✔ NORMAL</v>
      </c>
      <c r="M16" s="38">
        <f>IF(I16=0,0,IFERROR(I16/MAX(1,SUMPRODUCT(MAX((Movimentações!$C$4:$C$5000=A16)*(Movimentações!$D$4:$D$5000="Saída")*Movimentações!$B$4:$B$5000))-SUMPRODUCT(MIN(IF((Movimentações!$C$4:$C$5000=A16)*(Movimentações!$D$4:$D$5000="Saída")=1,Movimentações!$B$4:$B$5000)))+1),0))</f>
        <v>0</v>
      </c>
      <c r="N16" s="39" t="str">
        <f t="shared" si="3"/>
        <v>-</v>
      </c>
      <c r="O16" s="40">
        <f t="shared" si="4"/>
        <v>2</v>
      </c>
      <c r="P16" s="26" t="str">
        <f>IF(A16="","",IF(COUNTIF(Movimentações!$C$4:$C$5000,A16)=0,"Sem movim.",SUMPRODUCT(MAX((Movimentações!$C$4:$C$5000=A16)*Movimentações!$B$4:$B$5000))))</f>
        <v>Sem movim.</v>
      </c>
      <c r="Q16" s="41">
        <f t="shared" si="5"/>
        <v>999999</v>
      </c>
      <c r="R16" s="42">
        <f t="shared" si="6"/>
        <v>-1.6000000000000001E-4</v>
      </c>
    </row>
    <row r="17" spans="1:18" x14ac:dyDescent="0.25">
      <c r="A17" s="13" t="str">
        <f>IF('Cad. Materiais'!B17="","",'Cad. Materiais'!B17)</f>
        <v>Fita isolante</v>
      </c>
      <c r="B17" s="43" t="str">
        <f>IFERROR(VLOOKUP(A17,'Cad. Materiais'!$B$4:$D$53,3,FALSE),"")</f>
        <v>Manutenção</v>
      </c>
      <c r="C17" s="20" t="str">
        <f>IFERROR(VLOOKUP(A17,'Cad. Materiais'!$B$4:$C$53,2,FALSE),"")</f>
        <v>Unidade</v>
      </c>
      <c r="D17" s="44">
        <f>IFERROR(VLOOKUP(A17,'Cad. Materiais'!$B$4:$E$53,4,FALSE),0)</f>
        <v>1</v>
      </c>
      <c r="E17" s="44">
        <f>IFERROR(VLOOKUP(A17,'Cad. Materiais'!$B$4:$F$53,5,FALSE),0)</f>
        <v>1</v>
      </c>
      <c r="F17" s="45">
        <f>IFERROR(VLOOKUP(A17,'Cad. Materiais'!$B$4:$G$53,6,FALSE),0)</f>
        <v>6.5</v>
      </c>
      <c r="G17" s="46">
        <f>IFERROR(VLOOKUP(A17,'Cad. Materiais'!$B$4:$H$53,7,FALSE),0)</f>
        <v>10</v>
      </c>
      <c r="H17" s="14">
        <f>IFERROR(SUMIFS(Movimentações!$E$4:$E$5000,Movimentações!$C$4:$C$5000,A17,Movimentações!$D$4:$D$5000,"Entrada"),0)</f>
        <v>0</v>
      </c>
      <c r="I17" s="15">
        <f>IFERROR(SUMIFS(Movimentações!$E$4:$E$5000,Movimentações!$C$4:$C$5000,A17,Movimentações!$D$4:$D$5000,"Saída"),0)</f>
        <v>0</v>
      </c>
      <c r="J17" s="47">
        <f t="shared" si="0"/>
        <v>1</v>
      </c>
      <c r="K17" s="48">
        <f t="shared" si="1"/>
        <v>6.5</v>
      </c>
      <c r="L17" s="49" t="str">
        <f t="shared" si="2"/>
        <v>➡ ATENÇÃO</v>
      </c>
      <c r="M17" s="50">
        <f>IF(I17=0,0,IFERROR(I17/MAX(1,SUMPRODUCT(MAX((Movimentações!$C$4:$C$5000=A17)*(Movimentações!$D$4:$D$5000="Saída")*Movimentações!$B$4:$B$5000))-SUMPRODUCT(MIN(IF((Movimentações!$C$4:$C$5000=A17)*(Movimentações!$D$4:$D$5000="Saída")=1,Movimentações!$B$4:$B$5000)))+1),0))</f>
        <v>0</v>
      </c>
      <c r="N17" s="51" t="str">
        <f t="shared" si="3"/>
        <v>-</v>
      </c>
      <c r="O17" s="52">
        <f t="shared" si="4"/>
        <v>1</v>
      </c>
      <c r="P17" s="28" t="str">
        <f>IF(A17="","",IF(COUNTIF(Movimentações!$C$4:$C$5000,A17)=0,"Sem movim.",SUMPRODUCT(MAX((Movimentações!$C$4:$C$5000=A17)*Movimentações!$B$4:$B$5000))))</f>
        <v>Sem movim.</v>
      </c>
      <c r="Q17" s="53">
        <f t="shared" si="5"/>
        <v>1.7000000000000001E-4</v>
      </c>
      <c r="R17" s="54">
        <f t="shared" si="6"/>
        <v>-1.7000000000000001E-4</v>
      </c>
    </row>
    <row r="18" spans="1:18" x14ac:dyDescent="0.25">
      <c r="A18" s="5" t="str">
        <f>IF('Cad. Materiais'!B18="","",'Cad. Materiais'!B18)</f>
        <v>Nota promissória</v>
      </c>
      <c r="B18" s="31" t="str">
        <f>IFERROR(VLOOKUP(A18,'Cad. Materiais'!$B$4:$D$53,3,FALSE),"")</f>
        <v>Financeiro</v>
      </c>
      <c r="C18" s="12" t="str">
        <f>IFERROR(VLOOKUP(A18,'Cad. Materiais'!$B$4:$C$53,2,FALSE),"")</f>
        <v>Unidade</v>
      </c>
      <c r="D18" s="32">
        <f>IFERROR(VLOOKUP(A18,'Cad. Materiais'!$B$4:$E$53,4,FALSE),0)</f>
        <v>1</v>
      </c>
      <c r="E18" s="32">
        <f>IFERROR(VLOOKUP(A18,'Cad. Materiais'!$B$4:$F$53,5,FALSE),0)</f>
        <v>1</v>
      </c>
      <c r="F18" s="33">
        <f>IFERROR(VLOOKUP(A18,'Cad. Materiais'!$B$4:$G$53,6,FALSE),0)</f>
        <v>15</v>
      </c>
      <c r="G18" s="34">
        <f>IFERROR(VLOOKUP(A18,'Cad. Materiais'!$B$4:$H$53,7,FALSE),0)</f>
        <v>10</v>
      </c>
      <c r="H18" s="6">
        <f>IFERROR(SUMIFS(Movimentações!$E$4:$E$5000,Movimentações!$C$4:$C$5000,A18,Movimentações!$D$4:$D$5000,"Entrada"),0)</f>
        <v>0</v>
      </c>
      <c r="I18" s="7">
        <f>IFERROR(SUMIFS(Movimentações!$E$4:$E$5000,Movimentações!$C$4:$C$5000,A18,Movimentações!$D$4:$D$5000,"Saída"),0)</f>
        <v>0</v>
      </c>
      <c r="J18" s="35">
        <f t="shared" si="0"/>
        <v>1</v>
      </c>
      <c r="K18" s="36">
        <f t="shared" si="1"/>
        <v>15</v>
      </c>
      <c r="L18" s="37" t="str">
        <f t="shared" si="2"/>
        <v>➡ ATENÇÃO</v>
      </c>
      <c r="M18" s="38">
        <f>IF(I18=0,0,IFERROR(I18/MAX(1,SUMPRODUCT(MAX((Movimentações!$C$4:$C$5000=A18)*(Movimentações!$D$4:$D$5000="Saída")*Movimentações!$B$4:$B$5000))-SUMPRODUCT(MIN(IF((Movimentações!$C$4:$C$5000=A18)*(Movimentações!$D$4:$D$5000="Saída")=1,Movimentações!$B$4:$B$5000)))+1),0))</f>
        <v>0</v>
      </c>
      <c r="N18" s="39" t="str">
        <f t="shared" si="3"/>
        <v>-</v>
      </c>
      <c r="O18" s="40">
        <f t="shared" si="4"/>
        <v>1</v>
      </c>
      <c r="P18" s="26" t="str">
        <f>IF(A18="","",IF(COUNTIF(Movimentações!$C$4:$C$5000,A18)=0,"Sem movim.",SUMPRODUCT(MAX((Movimentações!$C$4:$C$5000=A18)*Movimentações!$B$4:$B$5000))))</f>
        <v>Sem movim.</v>
      </c>
      <c r="Q18" s="41">
        <f t="shared" si="5"/>
        <v>1.8000000000000001E-4</v>
      </c>
      <c r="R18" s="42">
        <f t="shared" si="6"/>
        <v>-1.8000000000000001E-4</v>
      </c>
    </row>
    <row r="19" spans="1:18" x14ac:dyDescent="0.25">
      <c r="A19" s="13" t="str">
        <f>IF('Cad. Materiais'!B19="","",'Cad. Materiais'!B19)</f>
        <v>Bateria</v>
      </c>
      <c r="B19" s="43" t="str">
        <f>IFERROR(VLOOKUP(A19,'Cad. Materiais'!$B$4:$D$53,3,FALSE),"")</f>
        <v>Eletrônico</v>
      </c>
      <c r="C19" s="20" t="str">
        <f>IFERROR(VLOOKUP(A19,'Cad. Materiais'!$B$4:$C$53,2,FALSE),"")</f>
        <v>Unidade</v>
      </c>
      <c r="D19" s="44">
        <f>IFERROR(VLOOKUP(A19,'Cad. Materiais'!$B$4:$E$53,4,FALSE),0)</f>
        <v>2</v>
      </c>
      <c r="E19" s="44">
        <f>IFERROR(VLOOKUP(A19,'Cad. Materiais'!$B$4:$F$53,5,FALSE),0)</f>
        <v>9</v>
      </c>
      <c r="F19" s="45">
        <f>IFERROR(VLOOKUP(A19,'Cad. Materiais'!$B$4:$G$53,6,FALSE),0)</f>
        <v>5.5</v>
      </c>
      <c r="G19" s="46">
        <f>IFERROR(VLOOKUP(A19,'Cad. Materiais'!$B$4:$H$53,7,FALSE),0)</f>
        <v>5</v>
      </c>
      <c r="H19" s="14">
        <f>IFERROR(SUMIFS(Movimentações!$E$4:$E$5000,Movimentações!$C$4:$C$5000,A19,Movimentações!$D$4:$D$5000,"Entrada"),0)</f>
        <v>0</v>
      </c>
      <c r="I19" s="15">
        <f>IFERROR(SUMIFS(Movimentações!$E$4:$E$5000,Movimentações!$C$4:$C$5000,A19,Movimentações!$D$4:$D$5000,"Saída"),0)</f>
        <v>0</v>
      </c>
      <c r="J19" s="47">
        <f t="shared" si="0"/>
        <v>9</v>
      </c>
      <c r="K19" s="48">
        <f t="shared" si="1"/>
        <v>49.5</v>
      </c>
      <c r="L19" s="49" t="str">
        <f t="shared" si="2"/>
        <v>✔ NORMAL</v>
      </c>
      <c r="M19" s="50">
        <f>IF(I19=0,0,IFERROR(I19/MAX(1,SUMPRODUCT(MAX((Movimentações!$C$4:$C$5000=A19)*(Movimentações!$D$4:$D$5000="Saída")*Movimentações!$B$4:$B$5000))-SUMPRODUCT(MIN(IF((Movimentações!$C$4:$C$5000=A19)*(Movimentações!$D$4:$D$5000="Saída")=1,Movimentações!$B$4:$B$5000)))+1),0))</f>
        <v>0</v>
      </c>
      <c r="N19" s="51" t="str">
        <f t="shared" si="3"/>
        <v>-</v>
      </c>
      <c r="O19" s="52">
        <f t="shared" si="4"/>
        <v>2</v>
      </c>
      <c r="P19" s="28" t="str">
        <f>IF(A19="","",IF(COUNTIF(Movimentações!$C$4:$C$5000,A19)=0,"Sem movim.",SUMPRODUCT(MAX((Movimentações!$C$4:$C$5000=A19)*Movimentações!$B$4:$B$5000))))</f>
        <v>Sem movim.</v>
      </c>
      <c r="Q19" s="53">
        <f t="shared" si="5"/>
        <v>999999</v>
      </c>
      <c r="R19" s="54">
        <f t="shared" si="6"/>
        <v>-1.9000000000000001E-4</v>
      </c>
    </row>
    <row r="20" spans="1:18" x14ac:dyDescent="0.25">
      <c r="A20" s="5" t="str">
        <f>IF('Cad. Materiais'!B20="","",'Cad. Materiais'!B20)</f>
        <v>Pilhas</v>
      </c>
      <c r="B20" s="31" t="str">
        <f>IFERROR(VLOOKUP(A20,'Cad. Materiais'!$B$4:$D$53,3,FALSE),"")</f>
        <v>Eletrônico</v>
      </c>
      <c r="C20" s="12" t="str">
        <f>IFERROR(VLOOKUP(A20,'Cad. Materiais'!$B$4:$C$53,2,FALSE),"")</f>
        <v>Unidade</v>
      </c>
      <c r="D20" s="32">
        <f>IFERROR(VLOOKUP(A20,'Cad. Materiais'!$B$4:$E$53,4,FALSE),0)</f>
        <v>4</v>
      </c>
      <c r="E20" s="32">
        <f>IFERROR(VLOOKUP(A20,'Cad. Materiais'!$B$4:$F$53,5,FALSE),0)</f>
        <v>0</v>
      </c>
      <c r="F20" s="33">
        <f>IFERROR(VLOOKUP(A20,'Cad. Materiais'!$B$4:$G$53,6,FALSE),0)</f>
        <v>3.8</v>
      </c>
      <c r="G20" s="34">
        <f>IFERROR(VLOOKUP(A20,'Cad. Materiais'!$B$4:$H$53,7,FALSE),0)</f>
        <v>5</v>
      </c>
      <c r="H20" s="6">
        <f>IFERROR(SUMIFS(Movimentações!$E$4:$E$5000,Movimentações!$C$4:$C$5000,A20,Movimentações!$D$4:$D$5000,"Entrada"),0)</f>
        <v>0</v>
      </c>
      <c r="I20" s="7">
        <f>IFERROR(SUMIFS(Movimentações!$E$4:$E$5000,Movimentações!$C$4:$C$5000,A20,Movimentações!$D$4:$D$5000,"Saída"),0)</f>
        <v>0</v>
      </c>
      <c r="J20" s="35">
        <f t="shared" si="0"/>
        <v>0</v>
      </c>
      <c r="K20" s="36">
        <f t="shared" si="1"/>
        <v>0</v>
      </c>
      <c r="L20" s="37" t="str">
        <f t="shared" si="2"/>
        <v>⚠ SEM ESTOQUE</v>
      </c>
      <c r="M20" s="38">
        <f>IF(I20=0,0,IFERROR(I20/MAX(1,SUMPRODUCT(MAX((Movimentações!$C$4:$C$5000=A20)*(Movimentações!$D$4:$D$5000="Saída")*Movimentações!$B$4:$B$5000))-SUMPRODUCT(MIN(IF((Movimentações!$C$4:$C$5000=A20)*(Movimentações!$D$4:$D$5000="Saída")=1,Movimentações!$B$4:$B$5000)))+1),0))</f>
        <v>0</v>
      </c>
      <c r="N20" s="39" t="str">
        <f t="shared" si="3"/>
        <v>-</v>
      </c>
      <c r="O20" s="40">
        <f t="shared" si="4"/>
        <v>4</v>
      </c>
      <c r="P20" s="26" t="str">
        <f>IF(A20="","",IF(COUNTIF(Movimentações!$C$4:$C$5000,A20)=0,"Sem movim.",SUMPRODUCT(MAX((Movimentações!$C$4:$C$5000=A20)*Movimentações!$B$4:$B$5000))))</f>
        <v>Sem movim.</v>
      </c>
      <c r="Q20" s="41">
        <f t="shared" si="5"/>
        <v>-3.9998</v>
      </c>
      <c r="R20" s="42">
        <f t="shared" si="6"/>
        <v>-2.0000000000000001E-4</v>
      </c>
    </row>
    <row r="21" spans="1:18" x14ac:dyDescent="0.25">
      <c r="A21" s="13" t="str">
        <f>IF('Cad. Materiais'!B21="","",'Cad. Materiais'!B21)</f>
        <v>Cola bastão</v>
      </c>
      <c r="B21" s="43" t="str">
        <f>IFERROR(VLOOKUP(A21,'Cad. Materiais'!$B$4:$D$53,3,FALSE),"")</f>
        <v>Escritório</v>
      </c>
      <c r="C21" s="20" t="str">
        <f>IFERROR(VLOOKUP(A21,'Cad. Materiais'!$B$4:$C$53,2,FALSE),"")</f>
        <v>Unidade</v>
      </c>
      <c r="D21" s="44">
        <f>IFERROR(VLOOKUP(A21,'Cad. Materiais'!$B$4:$E$53,4,FALSE),0)</f>
        <v>2</v>
      </c>
      <c r="E21" s="44">
        <f>IFERROR(VLOOKUP(A21,'Cad. Materiais'!$B$4:$F$53,5,FALSE),0)</f>
        <v>0</v>
      </c>
      <c r="F21" s="45">
        <f>IFERROR(VLOOKUP(A21,'Cad. Materiais'!$B$4:$G$53,6,FALSE),0)</f>
        <v>4.5</v>
      </c>
      <c r="G21" s="46">
        <f>IFERROR(VLOOKUP(A21,'Cad. Materiais'!$B$4:$H$53,7,FALSE),0)</f>
        <v>7</v>
      </c>
      <c r="H21" s="14">
        <f>IFERROR(SUMIFS(Movimentações!$E$4:$E$5000,Movimentações!$C$4:$C$5000,A21,Movimentações!$D$4:$D$5000,"Entrada"),0)</f>
        <v>0</v>
      </c>
      <c r="I21" s="15">
        <f>IFERROR(SUMIFS(Movimentações!$E$4:$E$5000,Movimentações!$C$4:$C$5000,A21,Movimentações!$D$4:$D$5000,"Saída"),0)</f>
        <v>0</v>
      </c>
      <c r="J21" s="47">
        <f t="shared" si="0"/>
        <v>0</v>
      </c>
      <c r="K21" s="48">
        <f t="shared" si="1"/>
        <v>0</v>
      </c>
      <c r="L21" s="49" t="str">
        <f t="shared" si="2"/>
        <v>⚠ SEM ESTOQUE</v>
      </c>
      <c r="M21" s="50">
        <f>IF(I21=0,0,IFERROR(I21/MAX(1,SUMPRODUCT(MAX((Movimentações!$C$4:$C$5000=A21)*(Movimentações!$D$4:$D$5000="Saída")*Movimentações!$B$4:$B$5000))-SUMPRODUCT(MIN(IF((Movimentações!$C$4:$C$5000=A21)*(Movimentações!$D$4:$D$5000="Saída")=1,Movimentações!$B$4:$B$5000)))+1),0))</f>
        <v>0</v>
      </c>
      <c r="N21" s="51" t="str">
        <f t="shared" si="3"/>
        <v>-</v>
      </c>
      <c r="O21" s="52">
        <f t="shared" si="4"/>
        <v>2</v>
      </c>
      <c r="P21" s="28" t="str">
        <f>IF(A21="","",IF(COUNTIF(Movimentações!$C$4:$C$5000,A21)=0,"Sem movim.",SUMPRODUCT(MAX((Movimentações!$C$4:$C$5000=A21)*Movimentações!$B$4:$B$5000))))</f>
        <v>Sem movim.</v>
      </c>
      <c r="Q21" s="53">
        <f t="shared" si="5"/>
        <v>-1.99979</v>
      </c>
      <c r="R21" s="54">
        <f t="shared" si="6"/>
        <v>-2.1000000000000001E-4</v>
      </c>
    </row>
    <row r="22" spans="1:18" x14ac:dyDescent="0.25">
      <c r="A22" s="5" t="str">
        <f>IF('Cad. Materiais'!B22="","",'Cad. Materiais'!B22)</f>
        <v>Régua</v>
      </c>
      <c r="B22" s="31" t="str">
        <f>IFERROR(VLOOKUP(A22,'Cad. Materiais'!$B$4:$D$53,3,FALSE),"")</f>
        <v>Escritório</v>
      </c>
      <c r="C22" s="12" t="str">
        <f>IFERROR(VLOOKUP(A22,'Cad. Materiais'!$B$4:$C$53,2,FALSE),"")</f>
        <v>Unidade</v>
      </c>
      <c r="D22" s="32">
        <f>IFERROR(VLOOKUP(A22,'Cad. Materiais'!$B$4:$E$53,4,FALSE),0)</f>
        <v>1</v>
      </c>
      <c r="E22" s="32">
        <f>IFERROR(VLOOKUP(A22,'Cad. Materiais'!$B$4:$F$53,5,FALSE),0)</f>
        <v>0</v>
      </c>
      <c r="F22" s="33">
        <f>IFERROR(VLOOKUP(A22,'Cad. Materiais'!$B$4:$G$53,6,FALSE),0)</f>
        <v>3.2</v>
      </c>
      <c r="G22" s="34">
        <f>IFERROR(VLOOKUP(A22,'Cad. Materiais'!$B$4:$H$53,7,FALSE),0)</f>
        <v>7</v>
      </c>
      <c r="H22" s="6">
        <f>IFERROR(SUMIFS(Movimentações!$E$4:$E$5000,Movimentações!$C$4:$C$5000,A22,Movimentações!$D$4:$D$5000,"Entrada"),0)</f>
        <v>0</v>
      </c>
      <c r="I22" s="7">
        <f>IFERROR(SUMIFS(Movimentações!$E$4:$E$5000,Movimentações!$C$4:$C$5000,A22,Movimentações!$D$4:$D$5000,"Saída"),0)</f>
        <v>0</v>
      </c>
      <c r="J22" s="35">
        <f t="shared" si="0"/>
        <v>0</v>
      </c>
      <c r="K22" s="36">
        <f t="shared" si="1"/>
        <v>0</v>
      </c>
      <c r="L22" s="37" t="str">
        <f t="shared" si="2"/>
        <v>⚠ SEM ESTOQUE</v>
      </c>
      <c r="M22" s="38">
        <f>IF(I22=0,0,IFERROR(I22/MAX(1,SUMPRODUCT(MAX((Movimentações!$C$4:$C$5000=A22)*(Movimentações!$D$4:$D$5000="Saída")*Movimentações!$B$4:$B$5000))-SUMPRODUCT(MIN(IF((Movimentações!$C$4:$C$5000=A22)*(Movimentações!$D$4:$D$5000="Saída")=1,Movimentações!$B$4:$B$5000)))+1),0))</f>
        <v>0</v>
      </c>
      <c r="N22" s="39" t="str">
        <f t="shared" si="3"/>
        <v>-</v>
      </c>
      <c r="O22" s="40">
        <f t="shared" si="4"/>
        <v>1</v>
      </c>
      <c r="P22" s="26" t="str">
        <f>IF(A22="","",IF(COUNTIF(Movimentações!$C$4:$C$5000,A22)=0,"Sem movim.",SUMPRODUCT(MAX((Movimentações!$C$4:$C$5000=A22)*Movimentações!$B$4:$B$5000))))</f>
        <v>Sem movim.</v>
      </c>
      <c r="Q22" s="41">
        <f t="shared" si="5"/>
        <v>-0.99978</v>
      </c>
      <c r="R22" s="42">
        <f t="shared" si="6"/>
        <v>-2.2000000000000001E-4</v>
      </c>
    </row>
    <row r="23" spans="1:18" x14ac:dyDescent="0.25">
      <c r="A23" s="13" t="str">
        <f>IF('Cad. Materiais'!B23="","",'Cad. Materiais'!B23)</f>
        <v>Grampeador</v>
      </c>
      <c r="B23" s="43" t="str">
        <f>IFERROR(VLOOKUP(A23,'Cad. Materiais'!$B$4:$D$53,3,FALSE),"")</f>
        <v>Escritório</v>
      </c>
      <c r="C23" s="20" t="str">
        <f>IFERROR(VLOOKUP(A23,'Cad. Materiais'!$B$4:$C$53,2,FALSE),"")</f>
        <v>Unidade</v>
      </c>
      <c r="D23" s="44">
        <f>IFERROR(VLOOKUP(A23,'Cad. Materiais'!$B$4:$E$53,4,FALSE),0)</f>
        <v>1</v>
      </c>
      <c r="E23" s="44">
        <f>IFERROR(VLOOKUP(A23,'Cad. Materiais'!$B$4:$F$53,5,FALSE),0)</f>
        <v>0</v>
      </c>
      <c r="F23" s="45">
        <f>IFERROR(VLOOKUP(A23,'Cad. Materiais'!$B$4:$G$53,6,FALSE),0)</f>
        <v>24.9</v>
      </c>
      <c r="G23" s="46">
        <f>IFERROR(VLOOKUP(A23,'Cad. Materiais'!$B$4:$H$53,7,FALSE),0)</f>
        <v>10</v>
      </c>
      <c r="H23" s="14">
        <f>IFERROR(SUMIFS(Movimentações!$E$4:$E$5000,Movimentações!$C$4:$C$5000,A23,Movimentações!$D$4:$D$5000,"Entrada"),0)</f>
        <v>3</v>
      </c>
      <c r="I23" s="15">
        <f>IFERROR(SUMIFS(Movimentações!$E$4:$E$5000,Movimentações!$C$4:$C$5000,A23,Movimentações!$D$4:$D$5000,"Saída"),0)</f>
        <v>0</v>
      </c>
      <c r="J23" s="47">
        <f t="shared" si="0"/>
        <v>3</v>
      </c>
      <c r="K23" s="48">
        <f t="shared" si="1"/>
        <v>74.699999999999989</v>
      </c>
      <c r="L23" s="49" t="str">
        <f t="shared" si="2"/>
        <v>✔ NORMAL</v>
      </c>
      <c r="M23" s="50">
        <f>IF(I23=0,0,IFERROR(I23/MAX(1,SUMPRODUCT(MAX((Movimentações!$C$4:$C$5000=A23)*(Movimentações!$D$4:$D$5000="Saída")*Movimentações!$B$4:$B$5000))-SUMPRODUCT(MIN(IF((Movimentações!$C$4:$C$5000=A23)*(Movimentações!$D$4:$D$5000="Saída")=1,Movimentações!$B$4:$B$5000)))+1),0))</f>
        <v>0</v>
      </c>
      <c r="N23" s="51" t="str">
        <f t="shared" si="3"/>
        <v>-</v>
      </c>
      <c r="O23" s="52">
        <f t="shared" si="4"/>
        <v>1</v>
      </c>
      <c r="P23" s="28">
        <f>IF(A23="","",IF(COUNTIF(Movimentações!$C$4:$C$5000,A23)=0,"Sem movim.",SUMPRODUCT(MAX((Movimentações!$C$4:$C$5000=A23)*Movimentações!$B$4:$B$5000))))</f>
        <v>46057</v>
      </c>
      <c r="Q23" s="53">
        <f t="shared" si="5"/>
        <v>999999</v>
      </c>
      <c r="R23" s="54">
        <f t="shared" si="6"/>
        <v>-2.3000000000000001E-4</v>
      </c>
    </row>
    <row r="24" spans="1:18" x14ac:dyDescent="0.25">
      <c r="A24" s="5" t="str">
        <f>IF('Cad. Materiais'!B24="","",'Cad. Materiais'!B24)</f>
        <v>Bloco de notas</v>
      </c>
      <c r="B24" s="31" t="str">
        <f>IFERROR(VLOOKUP(A24,'Cad. Materiais'!$B$4:$D$53,3,FALSE),"")</f>
        <v>Escritório</v>
      </c>
      <c r="C24" s="12" t="str">
        <f>IFERROR(VLOOKUP(A24,'Cad. Materiais'!$B$4:$C$53,2,FALSE),"")</f>
        <v>Unidade</v>
      </c>
      <c r="D24" s="32">
        <f>IFERROR(VLOOKUP(A24,'Cad. Materiais'!$B$4:$E$53,4,FALSE),0)</f>
        <v>5</v>
      </c>
      <c r="E24" s="32">
        <f>IFERROR(VLOOKUP(A24,'Cad. Materiais'!$B$4:$F$53,5,FALSE),0)</f>
        <v>0</v>
      </c>
      <c r="F24" s="33">
        <f>IFERROR(VLOOKUP(A24,'Cad. Materiais'!$B$4:$G$53,6,FALSE),0)</f>
        <v>7.8</v>
      </c>
      <c r="G24" s="34">
        <f>IFERROR(VLOOKUP(A24,'Cad. Materiais'!$B$4:$H$53,7,FALSE),0)</f>
        <v>5</v>
      </c>
      <c r="H24" s="6">
        <f>IFERROR(SUMIFS(Movimentações!$E$4:$E$5000,Movimentações!$C$4:$C$5000,A24,Movimentações!$D$4:$D$5000,"Entrada"),0)</f>
        <v>15</v>
      </c>
      <c r="I24" s="7">
        <f>IFERROR(SUMIFS(Movimentações!$E$4:$E$5000,Movimentações!$C$4:$C$5000,A24,Movimentações!$D$4:$D$5000,"Saída"),0)</f>
        <v>2</v>
      </c>
      <c r="J24" s="35">
        <f t="shared" si="0"/>
        <v>13</v>
      </c>
      <c r="K24" s="36">
        <f t="shared" si="1"/>
        <v>101.39999999999999</v>
      </c>
      <c r="L24" s="37" t="str">
        <f t="shared" si="2"/>
        <v>✔ NORMAL</v>
      </c>
      <c r="M24" s="38">
        <f>IF(I24=0,0,IFERROR(I24/MAX(1,SUMPRODUCT(MAX((Movimentações!$C$4:$C$5000=A24)*(Movimentações!$D$4:$D$5000="Saída")*Movimentações!$B$4:$B$5000))-SUMPRODUCT(MIN(IF((Movimentações!$C$4:$C$5000=A24)*(Movimentações!$D$4:$D$5000="Saída")=1,Movimentações!$B$4:$B$5000)))+1),0))</f>
        <v>4.3365134431916739E-5</v>
      </c>
      <c r="N24" s="39">
        <f t="shared" si="3"/>
        <v>299780</v>
      </c>
      <c r="O24" s="40">
        <f t="shared" si="4"/>
        <v>5</v>
      </c>
      <c r="P24" s="26">
        <f>IF(A24="","",IF(COUNTIF(Movimentações!$C$4:$C$5000,A24)=0,"Sem movim.",SUMPRODUCT(MAX((Movimentações!$C$4:$C$5000=A24)*Movimentações!$B$4:$B$5000))))</f>
        <v>46119</v>
      </c>
      <c r="Q24" s="41">
        <f t="shared" si="5"/>
        <v>999999</v>
      </c>
      <c r="R24" s="42">
        <f t="shared" si="6"/>
        <v>2.9997600000000002</v>
      </c>
    </row>
    <row r="25" spans="1:18" x14ac:dyDescent="0.25">
      <c r="A25" s="13" t="str">
        <f>IF('Cad. Materiais'!B25="","",'Cad. Materiais'!B25)</f>
        <v>Bobina</v>
      </c>
      <c r="B25" s="43" t="str">
        <f>IFERROR(VLOOKUP(A25,'Cad. Materiais'!$B$4:$D$53,3,FALSE),"")</f>
        <v>Operacional</v>
      </c>
      <c r="C25" s="20" t="str">
        <f>IFERROR(VLOOKUP(A25,'Cad. Materiais'!$B$4:$C$53,2,FALSE),"")</f>
        <v>Unidade</v>
      </c>
      <c r="D25" s="44">
        <f>IFERROR(VLOOKUP(A25,'Cad. Materiais'!$B$4:$E$53,4,FALSE),0)</f>
        <v>2</v>
      </c>
      <c r="E25" s="44">
        <f>IFERROR(VLOOKUP(A25,'Cad. Materiais'!$B$4:$F$53,5,FALSE),0)</f>
        <v>0</v>
      </c>
      <c r="F25" s="45">
        <f>IFERROR(VLOOKUP(A25,'Cad. Materiais'!$B$4:$G$53,6,FALSE),0)</f>
        <v>18</v>
      </c>
      <c r="G25" s="46">
        <f>IFERROR(VLOOKUP(A25,'Cad. Materiais'!$B$4:$H$53,7,FALSE),0)</f>
        <v>10</v>
      </c>
      <c r="H25" s="14">
        <f>IFERROR(SUMIFS(Movimentações!$E$4:$E$5000,Movimentações!$C$4:$C$5000,A25,Movimentações!$D$4:$D$5000,"Entrada"),0)</f>
        <v>8</v>
      </c>
      <c r="I25" s="15">
        <f>IFERROR(SUMIFS(Movimentações!$E$4:$E$5000,Movimentações!$C$4:$C$5000,A25,Movimentações!$D$4:$D$5000,"Saída"),0)</f>
        <v>2</v>
      </c>
      <c r="J25" s="47">
        <f t="shared" si="0"/>
        <v>6</v>
      </c>
      <c r="K25" s="48">
        <f t="shared" si="1"/>
        <v>108</v>
      </c>
      <c r="L25" s="49" t="str">
        <f t="shared" si="2"/>
        <v>✔ NORMAL</v>
      </c>
      <c r="M25" s="50">
        <f>IF(I25=0,0,IFERROR(I25/MAX(1,SUMPRODUCT(MAX((Movimentações!$C$4:$C$5000=A25)*(Movimentações!$D$4:$D$5000="Saída")*Movimentações!$B$4:$B$5000))-SUMPRODUCT(MIN(IF((Movimentações!$C$4:$C$5000=A25)*(Movimentações!$D$4:$D$5000="Saída")=1,Movimentações!$B$4:$B$5000)))+1),0))</f>
        <v>4.336325397857855E-5</v>
      </c>
      <c r="N25" s="51">
        <f t="shared" si="3"/>
        <v>138366</v>
      </c>
      <c r="O25" s="52">
        <f t="shared" si="4"/>
        <v>2</v>
      </c>
      <c r="P25" s="28">
        <f>IF(A25="","",IF(COUNTIF(Movimentações!$C$4:$C$5000,A25)=0,"Sem movim.",SUMPRODUCT(MAX((Movimentações!$C$4:$C$5000=A25)*Movimentações!$B$4:$B$5000))))</f>
        <v>46122</v>
      </c>
      <c r="Q25" s="53">
        <f t="shared" si="5"/>
        <v>999999</v>
      </c>
      <c r="R25" s="54">
        <f t="shared" si="6"/>
        <v>2.9997500000000001</v>
      </c>
    </row>
    <row r="26" spans="1:18" x14ac:dyDescent="0.25">
      <c r="A26" s="5" t="str">
        <f>IF('Cad. Materiais'!B26="","",'Cad. Materiais'!B26)</f>
        <v>Caneta Vermelha</v>
      </c>
      <c r="B26" s="31" t="str">
        <f>IFERROR(VLOOKUP(A26,'Cad. Materiais'!$B$4:$D$53,3,FALSE),"")</f>
        <v>Escritório</v>
      </c>
      <c r="C26" s="12" t="str">
        <f>IFERROR(VLOOKUP(A26,'Cad. Materiais'!$B$4:$C$53,2,FALSE),"")</f>
        <v>Unidade</v>
      </c>
      <c r="D26" s="32">
        <f>IFERROR(VLOOKUP(A26,'Cad. Materiais'!$B$4:$E$53,4,FALSE),0)</f>
        <v>5</v>
      </c>
      <c r="E26" s="32">
        <f>IFERROR(VLOOKUP(A26,'Cad. Materiais'!$B$4:$F$53,5,FALSE),0)</f>
        <v>0</v>
      </c>
      <c r="F26" s="33">
        <f>IFERROR(VLOOKUP(A26,'Cad. Materiais'!$B$4:$G$53,6,FALSE),0)</f>
        <v>2.8</v>
      </c>
      <c r="G26" s="34">
        <f>IFERROR(VLOOKUP(A26,'Cad. Materiais'!$B$4:$H$53,7,FALSE),0)</f>
        <v>3</v>
      </c>
      <c r="H26" s="6">
        <f>IFERROR(SUMIFS(Movimentações!$E$4:$E$5000,Movimentações!$C$4:$C$5000,A26,Movimentações!$D$4:$D$5000,"Entrada"),0)</f>
        <v>0</v>
      </c>
      <c r="I26" s="7">
        <f>IFERROR(SUMIFS(Movimentações!$E$4:$E$5000,Movimentações!$C$4:$C$5000,A26,Movimentações!$D$4:$D$5000,"Saída"),0)</f>
        <v>0</v>
      </c>
      <c r="J26" s="35">
        <f t="shared" si="0"/>
        <v>0</v>
      </c>
      <c r="K26" s="36">
        <f t="shared" si="1"/>
        <v>0</v>
      </c>
      <c r="L26" s="37" t="str">
        <f t="shared" si="2"/>
        <v>⚠ SEM ESTOQUE</v>
      </c>
      <c r="M26" s="38">
        <f>IF(I26=0,0,IFERROR(I26/MAX(1,SUMPRODUCT(MAX((Movimentações!$C$4:$C$5000=A26)*(Movimentações!$D$4:$D$5000="Saída")*Movimentações!$B$4:$B$5000))-SUMPRODUCT(MIN(IF((Movimentações!$C$4:$C$5000=A26)*(Movimentações!$D$4:$D$5000="Saída")=1,Movimentações!$B$4:$B$5000)))+1),0))</f>
        <v>0</v>
      </c>
      <c r="N26" s="39" t="str">
        <f t="shared" si="3"/>
        <v>-</v>
      </c>
      <c r="O26" s="40">
        <f t="shared" si="4"/>
        <v>5</v>
      </c>
      <c r="P26" s="26" t="str">
        <f>IF(A26="","",IF(COUNTIF(Movimentações!$C$4:$C$5000,A26)=0,"Sem movim.",SUMPRODUCT(MAX((Movimentações!$C$4:$C$5000=A26)*Movimentações!$B$4:$B$5000))))</f>
        <v>Sem movim.</v>
      </c>
      <c r="Q26" s="41">
        <f t="shared" si="5"/>
        <v>-4.9997400000000001</v>
      </c>
      <c r="R26" s="42">
        <f t="shared" si="6"/>
        <v>-2.5999999999999998E-4</v>
      </c>
    </row>
    <row r="27" spans="1:18" x14ac:dyDescent="0.25">
      <c r="A27" s="13" t="str">
        <f>IF('Cad. Materiais'!B27="","",'Cad. Materiais'!B27)</f>
        <v>Tesoura</v>
      </c>
      <c r="B27" s="43" t="str">
        <f>IFERROR(VLOOKUP(A27,'Cad. Materiais'!$B$4:$D$53,3,FALSE),"")</f>
        <v>Escritório</v>
      </c>
      <c r="C27" s="20" t="str">
        <f>IFERROR(VLOOKUP(A27,'Cad. Materiais'!$B$4:$C$53,2,FALSE),"")</f>
        <v>Unidade</v>
      </c>
      <c r="D27" s="44">
        <f>IFERROR(VLOOKUP(A27,'Cad. Materiais'!$B$4:$E$53,4,FALSE),0)</f>
        <v>2</v>
      </c>
      <c r="E27" s="44">
        <f>IFERROR(VLOOKUP(A27,'Cad. Materiais'!$B$4:$F$53,5,FALSE),0)</f>
        <v>0</v>
      </c>
      <c r="F27" s="45">
        <f>IFERROR(VLOOKUP(A27,'Cad. Materiais'!$B$4:$G$53,6,FALSE),0)</f>
        <v>12</v>
      </c>
      <c r="G27" s="46">
        <f>IFERROR(VLOOKUP(A27,'Cad. Materiais'!$B$4:$H$53,7,FALSE),0)</f>
        <v>10</v>
      </c>
      <c r="H27" s="14">
        <f>IFERROR(SUMIFS(Movimentações!$E$4:$E$5000,Movimentações!$C$4:$C$5000,A27,Movimentações!$D$4:$D$5000,"Entrada"),0)</f>
        <v>0</v>
      </c>
      <c r="I27" s="15">
        <f>IFERROR(SUMIFS(Movimentações!$E$4:$E$5000,Movimentações!$C$4:$C$5000,A27,Movimentações!$D$4:$D$5000,"Saída"),0)</f>
        <v>0</v>
      </c>
      <c r="J27" s="47">
        <f t="shared" si="0"/>
        <v>0</v>
      </c>
      <c r="K27" s="48">
        <f t="shared" si="1"/>
        <v>0</v>
      </c>
      <c r="L27" s="49" t="str">
        <f t="shared" si="2"/>
        <v>⚠ SEM ESTOQUE</v>
      </c>
      <c r="M27" s="50">
        <f>IF(I27=0,0,IFERROR(I27/MAX(1,SUMPRODUCT(MAX((Movimentações!$C$4:$C$5000=A27)*(Movimentações!$D$4:$D$5000="Saída")*Movimentações!$B$4:$B$5000))-SUMPRODUCT(MIN(IF((Movimentações!$C$4:$C$5000=A27)*(Movimentações!$D$4:$D$5000="Saída")=1,Movimentações!$B$4:$B$5000)))+1),0))</f>
        <v>0</v>
      </c>
      <c r="N27" s="51" t="str">
        <f t="shared" si="3"/>
        <v>-</v>
      </c>
      <c r="O27" s="52">
        <f t="shared" si="4"/>
        <v>2</v>
      </c>
      <c r="P27" s="28" t="str">
        <f>IF(A27="","",IF(COUNTIF(Movimentações!$C$4:$C$5000,A27)=0,"Sem movim.",SUMPRODUCT(MAX((Movimentações!$C$4:$C$5000=A27)*Movimentações!$B$4:$B$5000))))</f>
        <v>Sem movim.</v>
      </c>
      <c r="Q27" s="53">
        <f t="shared" si="5"/>
        <v>-1.99973</v>
      </c>
      <c r="R27" s="54">
        <f t="shared" si="6"/>
        <v>-2.7E-4</v>
      </c>
    </row>
    <row r="28" spans="1:18" x14ac:dyDescent="0.25">
      <c r="A28" s="5" t="str">
        <f>IF('Cad. Materiais'!B28="","",'Cad. Materiais'!B28)</f>
        <v>Papel A3</v>
      </c>
      <c r="B28" s="31" t="str">
        <f>IFERROR(VLOOKUP(A28,'Cad. Materiais'!$B$4:$D$53,3,FALSE),"")</f>
        <v>Papel/Impressão</v>
      </c>
      <c r="C28" s="12" t="str">
        <f>IFERROR(VLOOKUP(A28,'Cad. Materiais'!$B$4:$C$53,2,FALSE),"")</f>
        <v>Resma</v>
      </c>
      <c r="D28" s="32">
        <f>IFERROR(VLOOKUP(A28,'Cad. Materiais'!$B$4:$E$53,4,FALSE),0)</f>
        <v>2</v>
      </c>
      <c r="E28" s="32">
        <f>IFERROR(VLOOKUP(A28,'Cad. Materiais'!$B$4:$F$53,5,FALSE),0)</f>
        <v>0</v>
      </c>
      <c r="F28" s="33">
        <f>IFERROR(VLOOKUP(A28,'Cad. Materiais'!$B$4:$G$53,6,FALSE),0)</f>
        <v>45</v>
      </c>
      <c r="G28" s="34">
        <f>IFERROR(VLOOKUP(A28,'Cad. Materiais'!$B$4:$H$53,7,FALSE),0)</f>
        <v>10</v>
      </c>
      <c r="H28" s="6">
        <f>IFERROR(SUMIFS(Movimentações!$E$4:$E$5000,Movimentações!$C$4:$C$5000,A28,Movimentações!$D$4:$D$5000,"Entrada"),0)</f>
        <v>0</v>
      </c>
      <c r="I28" s="7">
        <f>IFERROR(SUMIFS(Movimentações!$E$4:$E$5000,Movimentações!$C$4:$C$5000,A28,Movimentações!$D$4:$D$5000,"Saída"),0)</f>
        <v>0</v>
      </c>
      <c r="J28" s="35">
        <f t="shared" si="0"/>
        <v>0</v>
      </c>
      <c r="K28" s="36">
        <f t="shared" si="1"/>
        <v>0</v>
      </c>
      <c r="L28" s="37" t="str">
        <f t="shared" si="2"/>
        <v>⚠ SEM ESTOQUE</v>
      </c>
      <c r="M28" s="38">
        <f>IF(I28=0,0,IFERROR(I28/MAX(1,SUMPRODUCT(MAX((Movimentações!$C$4:$C$5000=A28)*(Movimentações!$D$4:$D$5000="Saída")*Movimentações!$B$4:$B$5000))-SUMPRODUCT(MIN(IF((Movimentações!$C$4:$C$5000=A28)*(Movimentações!$D$4:$D$5000="Saída")=1,Movimentações!$B$4:$B$5000)))+1),0))</f>
        <v>0</v>
      </c>
      <c r="N28" s="39" t="str">
        <f t="shared" si="3"/>
        <v>-</v>
      </c>
      <c r="O28" s="40">
        <f t="shared" si="4"/>
        <v>2</v>
      </c>
      <c r="P28" s="26" t="str">
        <f>IF(A28="","",IF(COUNTIF(Movimentações!$C$4:$C$5000,A28)=0,"Sem movim.",SUMPRODUCT(MAX((Movimentações!$C$4:$C$5000=A28)*Movimentações!$B$4:$B$5000))))</f>
        <v>Sem movim.</v>
      </c>
      <c r="Q28" s="41">
        <f t="shared" si="5"/>
        <v>-1.9997199999999999</v>
      </c>
      <c r="R28" s="42">
        <f t="shared" si="6"/>
        <v>-2.7999999999999998E-4</v>
      </c>
    </row>
    <row r="29" spans="1:18" x14ac:dyDescent="0.25">
      <c r="A29" s="13" t="str">
        <f>IF('Cad. Materiais'!B29="","",'Cad. Materiais'!B29)</f>
        <v/>
      </c>
      <c r="B29" s="43" t="str">
        <f>IFERROR(VLOOKUP(A29,'Cad. Materiais'!$B$4:$D$53,3,FALSE),"")</f>
        <v/>
      </c>
      <c r="C29" s="20" t="str">
        <f>IFERROR(VLOOKUP(A29,'Cad. Materiais'!$B$4:$C$53,2,FALSE),"")</f>
        <v/>
      </c>
      <c r="D29" s="44">
        <f>IFERROR(VLOOKUP(A29,'Cad. Materiais'!$B$4:$E$53,4,FALSE),0)</f>
        <v>0</v>
      </c>
      <c r="E29" s="44">
        <f>IFERROR(VLOOKUP(A29,'Cad. Materiais'!$B$4:$F$53,5,FALSE),0)</f>
        <v>0</v>
      </c>
      <c r="F29" s="45">
        <f>IFERROR(VLOOKUP(A29,'Cad. Materiais'!$B$4:$G$53,6,FALSE),0)</f>
        <v>0</v>
      </c>
      <c r="G29" s="46">
        <f>IFERROR(VLOOKUP(A29,'Cad. Materiais'!$B$4:$H$53,7,FALSE),0)</f>
        <v>0</v>
      </c>
      <c r="H29" s="14">
        <f>IFERROR(SUMIFS(Movimentações!$E$4:$E$5000,Movimentações!$C$4:$C$5000,A29,Movimentações!$D$4:$D$5000,"Entrada"),0)</f>
        <v>0</v>
      </c>
      <c r="I29" s="15">
        <f>IFERROR(SUMIFS(Movimentações!$E$4:$E$5000,Movimentações!$C$4:$C$5000,A29,Movimentações!$D$4:$D$5000,"Saída"),0)</f>
        <v>0</v>
      </c>
      <c r="J29" s="47" t="str">
        <f t="shared" si="0"/>
        <v/>
      </c>
      <c r="K29" s="48" t="str">
        <f t="shared" si="1"/>
        <v/>
      </c>
      <c r="L29" s="49" t="str">
        <f t="shared" si="2"/>
        <v/>
      </c>
      <c r="M29" s="50">
        <f>IF(I29=0,0,IFERROR(I29/MAX(1,SUMPRODUCT(MAX((Movimentações!$C$4:$C$5000=A29)*(Movimentações!$D$4:$D$5000="Saída")*Movimentações!$B$4:$B$5000))-SUMPRODUCT(MIN(IF((Movimentações!$C$4:$C$5000=A29)*(Movimentações!$D$4:$D$5000="Saída")=1,Movimentações!$B$4:$B$5000)))+1),0))</f>
        <v>0</v>
      </c>
      <c r="N29" s="51" t="str">
        <f t="shared" si="3"/>
        <v>-</v>
      </c>
      <c r="O29" s="52">
        <f t="shared" si="4"/>
        <v>0</v>
      </c>
      <c r="P29" s="28" t="str">
        <f>IF(A29="","",IF(COUNTIF(Movimentações!$C$4:$C$5000,A29)=0,"Sem movim.",SUMPRODUCT(MAX((Movimentações!$C$4:$C$5000=A29)*Movimentações!$B$4:$B$5000))))</f>
        <v/>
      </c>
      <c r="Q29" s="53">
        <f t="shared" si="5"/>
        <v>999999</v>
      </c>
      <c r="R29" s="54">
        <f t="shared" si="6"/>
        <v>-2.9E-4</v>
      </c>
    </row>
    <row r="30" spans="1:18" x14ac:dyDescent="0.25">
      <c r="A30" s="5" t="str">
        <f>IF('Cad. Materiais'!B30="","",'Cad. Materiais'!B30)</f>
        <v/>
      </c>
      <c r="B30" s="31" t="str">
        <f>IFERROR(VLOOKUP(A30,'Cad. Materiais'!$B$4:$D$53,3,FALSE),"")</f>
        <v/>
      </c>
      <c r="C30" s="12" t="str">
        <f>IFERROR(VLOOKUP(A30,'Cad. Materiais'!$B$4:$C$53,2,FALSE),"")</f>
        <v/>
      </c>
      <c r="D30" s="32">
        <f>IFERROR(VLOOKUP(A30,'Cad. Materiais'!$B$4:$E$53,4,FALSE),0)</f>
        <v>0</v>
      </c>
      <c r="E30" s="32">
        <f>IFERROR(VLOOKUP(A30,'Cad. Materiais'!$B$4:$F$53,5,FALSE),0)</f>
        <v>0</v>
      </c>
      <c r="F30" s="33">
        <f>IFERROR(VLOOKUP(A30,'Cad. Materiais'!$B$4:$G$53,6,FALSE),0)</f>
        <v>0</v>
      </c>
      <c r="G30" s="34">
        <f>IFERROR(VLOOKUP(A30,'Cad. Materiais'!$B$4:$H$53,7,FALSE),0)</f>
        <v>0</v>
      </c>
      <c r="H30" s="6">
        <f>IFERROR(SUMIFS(Movimentações!$E$4:$E$5000,Movimentações!$C$4:$C$5000,A30,Movimentações!$D$4:$D$5000,"Entrada"),0)</f>
        <v>0</v>
      </c>
      <c r="I30" s="7">
        <f>IFERROR(SUMIFS(Movimentações!$E$4:$E$5000,Movimentações!$C$4:$C$5000,A30,Movimentações!$D$4:$D$5000,"Saída"),0)</f>
        <v>0</v>
      </c>
      <c r="J30" s="35" t="str">
        <f t="shared" si="0"/>
        <v/>
      </c>
      <c r="K30" s="36" t="str">
        <f t="shared" si="1"/>
        <v/>
      </c>
      <c r="L30" s="37" t="str">
        <f t="shared" si="2"/>
        <v/>
      </c>
      <c r="M30" s="38">
        <f>IF(I30=0,0,IFERROR(I30/MAX(1,SUMPRODUCT(MAX((Movimentações!$C$4:$C$5000=A30)*(Movimentações!$D$4:$D$5000="Saída")*Movimentações!$B$4:$B$5000))-SUMPRODUCT(MIN(IF((Movimentações!$C$4:$C$5000=A30)*(Movimentações!$D$4:$D$5000="Saída")=1,Movimentações!$B$4:$B$5000)))+1),0))</f>
        <v>0</v>
      </c>
      <c r="N30" s="39" t="str">
        <f t="shared" si="3"/>
        <v>-</v>
      </c>
      <c r="O30" s="40">
        <f t="shared" si="4"/>
        <v>0</v>
      </c>
      <c r="P30" s="26" t="str">
        <f>IF(A30="","",IF(COUNTIF(Movimentações!$C$4:$C$5000,A30)=0,"Sem movim.",SUMPRODUCT(MAX((Movimentações!$C$4:$C$5000=A30)*Movimentações!$B$4:$B$5000))))</f>
        <v/>
      </c>
      <c r="Q30" s="41">
        <f t="shared" si="5"/>
        <v>999999</v>
      </c>
      <c r="R30" s="42">
        <f t="shared" si="6"/>
        <v>-2.9999999999999997E-4</v>
      </c>
    </row>
    <row r="31" spans="1:18" x14ac:dyDescent="0.25">
      <c r="A31" s="13" t="str">
        <f>IF('Cad. Materiais'!B31="","",'Cad. Materiais'!B31)</f>
        <v/>
      </c>
      <c r="B31" s="43" t="str">
        <f>IFERROR(VLOOKUP(A31,'Cad. Materiais'!$B$4:$D$53,3,FALSE),"")</f>
        <v/>
      </c>
      <c r="C31" s="20" t="str">
        <f>IFERROR(VLOOKUP(A31,'Cad. Materiais'!$B$4:$C$53,2,FALSE),"")</f>
        <v/>
      </c>
      <c r="D31" s="44">
        <f>IFERROR(VLOOKUP(A31,'Cad. Materiais'!$B$4:$E$53,4,FALSE),0)</f>
        <v>0</v>
      </c>
      <c r="E31" s="44">
        <f>IFERROR(VLOOKUP(A31,'Cad. Materiais'!$B$4:$F$53,5,FALSE),0)</f>
        <v>0</v>
      </c>
      <c r="F31" s="45">
        <f>IFERROR(VLOOKUP(A31,'Cad. Materiais'!$B$4:$G$53,6,FALSE),0)</f>
        <v>0</v>
      </c>
      <c r="G31" s="46">
        <f>IFERROR(VLOOKUP(A31,'Cad. Materiais'!$B$4:$H$53,7,FALSE),0)</f>
        <v>0</v>
      </c>
      <c r="H31" s="14">
        <f>IFERROR(SUMIFS(Movimentações!$E$4:$E$5000,Movimentações!$C$4:$C$5000,A31,Movimentações!$D$4:$D$5000,"Entrada"),0)</f>
        <v>0</v>
      </c>
      <c r="I31" s="15">
        <f>IFERROR(SUMIFS(Movimentações!$E$4:$E$5000,Movimentações!$C$4:$C$5000,A31,Movimentações!$D$4:$D$5000,"Saída"),0)</f>
        <v>0</v>
      </c>
      <c r="J31" s="47" t="str">
        <f t="shared" si="0"/>
        <v/>
      </c>
      <c r="K31" s="48" t="str">
        <f t="shared" si="1"/>
        <v/>
      </c>
      <c r="L31" s="49" t="str">
        <f t="shared" si="2"/>
        <v/>
      </c>
      <c r="M31" s="50">
        <f>IF(I31=0,0,IFERROR(I31/MAX(1,SUMPRODUCT(MAX((Movimentações!$C$4:$C$5000=A31)*(Movimentações!$D$4:$D$5000="Saída")*Movimentações!$B$4:$B$5000))-SUMPRODUCT(MIN(IF((Movimentações!$C$4:$C$5000=A31)*(Movimentações!$D$4:$D$5000="Saída")=1,Movimentações!$B$4:$B$5000)))+1),0))</f>
        <v>0</v>
      </c>
      <c r="N31" s="51" t="str">
        <f t="shared" si="3"/>
        <v>-</v>
      </c>
      <c r="O31" s="52">
        <f t="shared" si="4"/>
        <v>0</v>
      </c>
      <c r="P31" s="28" t="str">
        <f>IF(A31="","",IF(COUNTIF(Movimentações!$C$4:$C$5000,A31)=0,"Sem movim.",SUMPRODUCT(MAX((Movimentações!$C$4:$C$5000=A31)*Movimentações!$B$4:$B$5000))))</f>
        <v/>
      </c>
      <c r="Q31" s="53">
        <f t="shared" si="5"/>
        <v>999999</v>
      </c>
      <c r="R31" s="54">
        <f t="shared" si="6"/>
        <v>-3.1E-4</v>
      </c>
    </row>
    <row r="32" spans="1:18" x14ac:dyDescent="0.25">
      <c r="A32" s="5" t="str">
        <f>IF('Cad. Materiais'!B32="","",'Cad. Materiais'!B32)</f>
        <v/>
      </c>
      <c r="B32" s="31" t="str">
        <f>IFERROR(VLOOKUP(A32,'Cad. Materiais'!$B$4:$D$53,3,FALSE),"")</f>
        <v/>
      </c>
      <c r="C32" s="12" t="str">
        <f>IFERROR(VLOOKUP(A32,'Cad. Materiais'!$B$4:$C$53,2,FALSE),"")</f>
        <v/>
      </c>
      <c r="D32" s="32">
        <f>IFERROR(VLOOKUP(A32,'Cad. Materiais'!$B$4:$E$53,4,FALSE),0)</f>
        <v>0</v>
      </c>
      <c r="E32" s="32">
        <f>IFERROR(VLOOKUP(A32,'Cad. Materiais'!$B$4:$F$53,5,FALSE),0)</f>
        <v>0</v>
      </c>
      <c r="F32" s="33">
        <f>IFERROR(VLOOKUP(A32,'Cad. Materiais'!$B$4:$G$53,6,FALSE),0)</f>
        <v>0</v>
      </c>
      <c r="G32" s="34">
        <f>IFERROR(VLOOKUP(A32,'Cad. Materiais'!$B$4:$H$53,7,FALSE),0)</f>
        <v>0</v>
      </c>
      <c r="H32" s="6">
        <f>IFERROR(SUMIFS(Movimentações!$E$4:$E$5000,Movimentações!$C$4:$C$5000,A32,Movimentações!$D$4:$D$5000,"Entrada"),0)</f>
        <v>0</v>
      </c>
      <c r="I32" s="7">
        <f>IFERROR(SUMIFS(Movimentações!$E$4:$E$5000,Movimentações!$C$4:$C$5000,A32,Movimentações!$D$4:$D$5000,"Saída"),0)</f>
        <v>0</v>
      </c>
      <c r="J32" s="35" t="str">
        <f t="shared" si="0"/>
        <v/>
      </c>
      <c r="K32" s="36" t="str">
        <f t="shared" si="1"/>
        <v/>
      </c>
      <c r="L32" s="37" t="str">
        <f t="shared" si="2"/>
        <v/>
      </c>
      <c r="M32" s="38">
        <f>IF(I32=0,0,IFERROR(I32/MAX(1,SUMPRODUCT(MAX((Movimentações!$C$4:$C$5000=A32)*(Movimentações!$D$4:$D$5000="Saída")*Movimentações!$B$4:$B$5000))-SUMPRODUCT(MIN(IF((Movimentações!$C$4:$C$5000=A32)*(Movimentações!$D$4:$D$5000="Saída")=1,Movimentações!$B$4:$B$5000)))+1),0))</f>
        <v>0</v>
      </c>
      <c r="N32" s="39" t="str">
        <f t="shared" si="3"/>
        <v>-</v>
      </c>
      <c r="O32" s="40">
        <f t="shared" si="4"/>
        <v>0</v>
      </c>
      <c r="P32" s="26" t="str">
        <f>IF(A32="","",IF(COUNTIF(Movimentações!$C$4:$C$5000,A32)=0,"Sem movim.",SUMPRODUCT(MAX((Movimentações!$C$4:$C$5000=A32)*Movimentações!$B$4:$B$5000))))</f>
        <v/>
      </c>
      <c r="Q32" s="41">
        <f t="shared" si="5"/>
        <v>999999</v>
      </c>
      <c r="R32" s="42">
        <f t="shared" si="6"/>
        <v>-3.2000000000000003E-4</v>
      </c>
    </row>
    <row r="33" spans="1:18" x14ac:dyDescent="0.25">
      <c r="A33" s="13" t="str">
        <f>IF('Cad. Materiais'!B33="","",'Cad. Materiais'!B33)</f>
        <v/>
      </c>
      <c r="B33" s="43" t="str">
        <f>IFERROR(VLOOKUP(A33,'Cad. Materiais'!$B$4:$D$53,3,FALSE),"")</f>
        <v/>
      </c>
      <c r="C33" s="20" t="str">
        <f>IFERROR(VLOOKUP(A33,'Cad. Materiais'!$B$4:$C$53,2,FALSE),"")</f>
        <v/>
      </c>
      <c r="D33" s="44">
        <f>IFERROR(VLOOKUP(A33,'Cad. Materiais'!$B$4:$E$53,4,FALSE),0)</f>
        <v>0</v>
      </c>
      <c r="E33" s="44">
        <f>IFERROR(VLOOKUP(A33,'Cad. Materiais'!$B$4:$F$53,5,FALSE),0)</f>
        <v>0</v>
      </c>
      <c r="F33" s="45">
        <f>IFERROR(VLOOKUP(A33,'Cad. Materiais'!$B$4:$G$53,6,FALSE),0)</f>
        <v>0</v>
      </c>
      <c r="G33" s="46">
        <f>IFERROR(VLOOKUP(A33,'Cad. Materiais'!$B$4:$H$53,7,FALSE),0)</f>
        <v>0</v>
      </c>
      <c r="H33" s="14">
        <f>IFERROR(SUMIFS(Movimentações!$E$4:$E$5000,Movimentações!$C$4:$C$5000,A33,Movimentações!$D$4:$D$5000,"Entrada"),0)</f>
        <v>0</v>
      </c>
      <c r="I33" s="15">
        <f>IFERROR(SUMIFS(Movimentações!$E$4:$E$5000,Movimentações!$C$4:$C$5000,A33,Movimentações!$D$4:$D$5000,"Saída"),0)</f>
        <v>0</v>
      </c>
      <c r="J33" s="47" t="str">
        <f t="shared" si="0"/>
        <v/>
      </c>
      <c r="K33" s="48" t="str">
        <f t="shared" si="1"/>
        <v/>
      </c>
      <c r="L33" s="49" t="str">
        <f t="shared" si="2"/>
        <v/>
      </c>
      <c r="M33" s="50">
        <f>IF(I33=0,0,IFERROR(I33/MAX(1,SUMPRODUCT(MAX((Movimentações!$C$4:$C$5000=A33)*(Movimentações!$D$4:$D$5000="Saída")*Movimentações!$B$4:$B$5000))-SUMPRODUCT(MIN(IF((Movimentações!$C$4:$C$5000=A33)*(Movimentações!$D$4:$D$5000="Saída")=1,Movimentações!$B$4:$B$5000)))+1),0))</f>
        <v>0</v>
      </c>
      <c r="N33" s="51" t="str">
        <f t="shared" si="3"/>
        <v>-</v>
      </c>
      <c r="O33" s="52">
        <f t="shared" si="4"/>
        <v>0</v>
      </c>
      <c r="P33" s="28" t="str">
        <f>IF(A33="","",IF(COUNTIF(Movimentações!$C$4:$C$5000,A33)=0,"Sem movim.",SUMPRODUCT(MAX((Movimentações!$C$4:$C$5000=A33)*Movimentações!$B$4:$B$5000))))</f>
        <v/>
      </c>
      <c r="Q33" s="53">
        <f t="shared" si="5"/>
        <v>999999</v>
      </c>
      <c r="R33" s="54">
        <f t="shared" si="6"/>
        <v>-3.3E-4</v>
      </c>
    </row>
    <row r="34" spans="1:18" x14ac:dyDescent="0.25">
      <c r="A34" s="5" t="str">
        <f>IF('Cad. Materiais'!B34="","",'Cad. Materiais'!B34)</f>
        <v/>
      </c>
      <c r="B34" s="31" t="str">
        <f>IFERROR(VLOOKUP(A34,'Cad. Materiais'!$B$4:$D$53,3,FALSE),"")</f>
        <v/>
      </c>
      <c r="C34" s="12" t="str">
        <f>IFERROR(VLOOKUP(A34,'Cad. Materiais'!$B$4:$C$53,2,FALSE),"")</f>
        <v/>
      </c>
      <c r="D34" s="32">
        <f>IFERROR(VLOOKUP(A34,'Cad. Materiais'!$B$4:$E$53,4,FALSE),0)</f>
        <v>0</v>
      </c>
      <c r="E34" s="32">
        <f>IFERROR(VLOOKUP(A34,'Cad. Materiais'!$B$4:$F$53,5,FALSE),0)</f>
        <v>0</v>
      </c>
      <c r="F34" s="33">
        <f>IFERROR(VLOOKUP(A34,'Cad. Materiais'!$B$4:$G$53,6,FALSE),0)</f>
        <v>0</v>
      </c>
      <c r="G34" s="34">
        <f>IFERROR(VLOOKUP(A34,'Cad. Materiais'!$B$4:$H$53,7,FALSE),0)</f>
        <v>0</v>
      </c>
      <c r="H34" s="6">
        <f>IFERROR(SUMIFS(Movimentações!$E$4:$E$5000,Movimentações!$C$4:$C$5000,A34,Movimentações!$D$4:$D$5000,"Entrada"),0)</f>
        <v>0</v>
      </c>
      <c r="I34" s="7">
        <f>IFERROR(SUMIFS(Movimentações!$E$4:$E$5000,Movimentações!$C$4:$C$5000,A34,Movimentações!$D$4:$D$5000,"Saída"),0)</f>
        <v>0</v>
      </c>
      <c r="J34" s="35" t="str">
        <f t="shared" si="0"/>
        <v/>
      </c>
      <c r="K34" s="36" t="str">
        <f t="shared" si="1"/>
        <v/>
      </c>
      <c r="L34" s="37" t="str">
        <f t="shared" si="2"/>
        <v/>
      </c>
      <c r="M34" s="38">
        <f>IF(I34=0,0,IFERROR(I34/MAX(1,SUMPRODUCT(MAX((Movimentações!$C$4:$C$5000=A34)*(Movimentações!$D$4:$D$5000="Saída")*Movimentações!$B$4:$B$5000))-SUMPRODUCT(MIN(IF((Movimentações!$C$4:$C$5000=A34)*(Movimentações!$D$4:$D$5000="Saída")=1,Movimentações!$B$4:$B$5000)))+1),0))</f>
        <v>0</v>
      </c>
      <c r="N34" s="39" t="str">
        <f t="shared" si="3"/>
        <v>-</v>
      </c>
      <c r="O34" s="40">
        <f t="shared" si="4"/>
        <v>0</v>
      </c>
      <c r="P34" s="26" t="str">
        <f>IF(A34="","",IF(COUNTIF(Movimentações!$C$4:$C$5000,A34)=0,"Sem movim.",SUMPRODUCT(MAX((Movimentações!$C$4:$C$5000=A34)*Movimentações!$B$4:$B$5000))))</f>
        <v/>
      </c>
      <c r="Q34" s="41">
        <f t="shared" si="5"/>
        <v>999999</v>
      </c>
      <c r="R34" s="42">
        <f t="shared" si="6"/>
        <v>-3.4000000000000002E-4</v>
      </c>
    </row>
    <row r="35" spans="1:18" x14ac:dyDescent="0.25">
      <c r="A35" s="13" t="str">
        <f>IF('Cad. Materiais'!B35="","",'Cad. Materiais'!B35)</f>
        <v/>
      </c>
      <c r="B35" s="43" t="str">
        <f>IFERROR(VLOOKUP(A35,'Cad. Materiais'!$B$4:$D$53,3,FALSE),"")</f>
        <v/>
      </c>
      <c r="C35" s="20" t="str">
        <f>IFERROR(VLOOKUP(A35,'Cad. Materiais'!$B$4:$C$53,2,FALSE),"")</f>
        <v/>
      </c>
      <c r="D35" s="44">
        <f>IFERROR(VLOOKUP(A35,'Cad. Materiais'!$B$4:$E$53,4,FALSE),0)</f>
        <v>0</v>
      </c>
      <c r="E35" s="44">
        <f>IFERROR(VLOOKUP(A35,'Cad. Materiais'!$B$4:$F$53,5,FALSE),0)</f>
        <v>0</v>
      </c>
      <c r="F35" s="45">
        <f>IFERROR(VLOOKUP(A35,'Cad. Materiais'!$B$4:$G$53,6,FALSE),0)</f>
        <v>0</v>
      </c>
      <c r="G35" s="46">
        <f>IFERROR(VLOOKUP(A35,'Cad. Materiais'!$B$4:$H$53,7,FALSE),0)</f>
        <v>0</v>
      </c>
      <c r="H35" s="14">
        <f>IFERROR(SUMIFS(Movimentações!$E$4:$E$5000,Movimentações!$C$4:$C$5000,A35,Movimentações!$D$4:$D$5000,"Entrada"),0)</f>
        <v>0</v>
      </c>
      <c r="I35" s="15">
        <f>IFERROR(SUMIFS(Movimentações!$E$4:$E$5000,Movimentações!$C$4:$C$5000,A35,Movimentações!$D$4:$D$5000,"Saída"),0)</f>
        <v>0</v>
      </c>
      <c r="J35" s="47" t="str">
        <f t="shared" si="0"/>
        <v/>
      </c>
      <c r="K35" s="48" t="str">
        <f t="shared" si="1"/>
        <v/>
      </c>
      <c r="L35" s="49" t="str">
        <f t="shared" si="2"/>
        <v/>
      </c>
      <c r="M35" s="50">
        <f>IF(I35=0,0,IFERROR(I35/MAX(1,SUMPRODUCT(MAX((Movimentações!$C$4:$C$5000=A35)*(Movimentações!$D$4:$D$5000="Saída")*Movimentações!$B$4:$B$5000))-SUMPRODUCT(MIN(IF((Movimentações!$C$4:$C$5000=A35)*(Movimentações!$D$4:$D$5000="Saída")=1,Movimentações!$B$4:$B$5000)))+1),0))</f>
        <v>0</v>
      </c>
      <c r="N35" s="51" t="str">
        <f t="shared" si="3"/>
        <v>-</v>
      </c>
      <c r="O35" s="52">
        <f t="shared" si="4"/>
        <v>0</v>
      </c>
      <c r="P35" s="28" t="str">
        <f>IF(A35="","",IF(COUNTIF(Movimentações!$C$4:$C$5000,A35)=0,"Sem movim.",SUMPRODUCT(MAX((Movimentações!$C$4:$C$5000=A35)*Movimentações!$B$4:$B$5000))))</f>
        <v/>
      </c>
      <c r="Q35" s="53">
        <f t="shared" si="5"/>
        <v>999999</v>
      </c>
      <c r="R35" s="54">
        <f t="shared" si="6"/>
        <v>-3.5E-4</v>
      </c>
    </row>
    <row r="36" spans="1:18" x14ac:dyDescent="0.25">
      <c r="A36" s="5" t="str">
        <f>IF('Cad. Materiais'!B36="","",'Cad. Materiais'!B36)</f>
        <v/>
      </c>
      <c r="B36" s="31" t="str">
        <f>IFERROR(VLOOKUP(A36,'Cad. Materiais'!$B$4:$D$53,3,FALSE),"")</f>
        <v/>
      </c>
      <c r="C36" s="12" t="str">
        <f>IFERROR(VLOOKUP(A36,'Cad. Materiais'!$B$4:$C$53,2,FALSE),"")</f>
        <v/>
      </c>
      <c r="D36" s="32">
        <f>IFERROR(VLOOKUP(A36,'Cad. Materiais'!$B$4:$E$53,4,FALSE),0)</f>
        <v>0</v>
      </c>
      <c r="E36" s="32">
        <f>IFERROR(VLOOKUP(A36,'Cad. Materiais'!$B$4:$F$53,5,FALSE),0)</f>
        <v>0</v>
      </c>
      <c r="F36" s="33">
        <f>IFERROR(VLOOKUP(A36,'Cad. Materiais'!$B$4:$G$53,6,FALSE),0)</f>
        <v>0</v>
      </c>
      <c r="G36" s="34">
        <f>IFERROR(VLOOKUP(A36,'Cad. Materiais'!$B$4:$H$53,7,FALSE),0)</f>
        <v>0</v>
      </c>
      <c r="H36" s="6">
        <f>IFERROR(SUMIFS(Movimentações!$E$4:$E$5000,Movimentações!$C$4:$C$5000,A36,Movimentações!$D$4:$D$5000,"Entrada"),0)</f>
        <v>0</v>
      </c>
      <c r="I36" s="7">
        <f>IFERROR(SUMIFS(Movimentações!$E$4:$E$5000,Movimentações!$C$4:$C$5000,A36,Movimentações!$D$4:$D$5000,"Saída"),0)</f>
        <v>0</v>
      </c>
      <c r="J36" s="35" t="str">
        <f t="shared" ref="J36:J67" si="7">IF(A36="","",E36+H36-I36)</f>
        <v/>
      </c>
      <c r="K36" s="36" t="str">
        <f t="shared" ref="K36:K67" si="8">IF(A36="","",J36*F36)</f>
        <v/>
      </c>
      <c r="L36" s="37" t="str">
        <f t="shared" ref="L36:L53" si="9">IF(A36="","",IF(J36&lt;=0,"⚠ SEM ESTOQUE",IF(J36&lt;D36,"⬇ ABAIXO DO MÍN.",IF(J36&lt;D36*1.5,"➡ ATENÇÃO","✔ NORMAL"))))</f>
        <v/>
      </c>
      <c r="M36" s="38">
        <f>IF(I36=0,0,IFERROR(I36/MAX(1,SUMPRODUCT(MAX((Movimentações!$C$4:$C$5000=A36)*(Movimentações!$D$4:$D$5000="Saída")*Movimentações!$B$4:$B$5000))-SUMPRODUCT(MIN(IF((Movimentações!$C$4:$C$5000=A36)*(Movimentações!$D$4:$D$5000="Saída")=1,Movimentações!$B$4:$B$5000)))+1),0))</f>
        <v>0</v>
      </c>
      <c r="N36" s="39" t="str">
        <f t="shared" ref="N36:N67" si="10">IF(M36&lt;=0,"-",IF(J36&lt;=0,0,ROUND(J36/M36,0)))</f>
        <v>-</v>
      </c>
      <c r="O36" s="40">
        <f t="shared" ref="O36:O53" si="11">ROUND(M36*G36+D36,0)</f>
        <v>0</v>
      </c>
      <c r="P36" s="26" t="str">
        <f>IF(A36="","",IF(COUNTIF(Movimentações!$C$4:$C$5000,A36)=0,"Sem movim.",SUMPRODUCT(MAX((Movimentações!$C$4:$C$5000=A36)*Movimentações!$B$4:$B$5000))))</f>
        <v/>
      </c>
      <c r="Q36" s="41">
        <f t="shared" ref="Q36:Q53" si="12">IF(OR(L36="✔ NORMAL",L36="",A36=""),999999,(J36-D36)+ROW()/100000)</f>
        <v>999999</v>
      </c>
      <c r="R36" s="42">
        <f t="shared" ref="R36:R53" si="13">IF(I36=0,-ROW()/100000,I36+(1-ROW()/100000))</f>
        <v>-3.6000000000000002E-4</v>
      </c>
    </row>
    <row r="37" spans="1:18" x14ac:dyDescent="0.25">
      <c r="A37" s="13" t="str">
        <f>IF('Cad. Materiais'!B37="","",'Cad. Materiais'!B37)</f>
        <v/>
      </c>
      <c r="B37" s="43" t="str">
        <f>IFERROR(VLOOKUP(A37,'Cad. Materiais'!$B$4:$D$53,3,FALSE),"")</f>
        <v/>
      </c>
      <c r="C37" s="20" t="str">
        <f>IFERROR(VLOOKUP(A37,'Cad. Materiais'!$B$4:$C$53,2,FALSE),"")</f>
        <v/>
      </c>
      <c r="D37" s="44">
        <f>IFERROR(VLOOKUP(A37,'Cad. Materiais'!$B$4:$E$53,4,FALSE),0)</f>
        <v>0</v>
      </c>
      <c r="E37" s="44">
        <f>IFERROR(VLOOKUP(A37,'Cad. Materiais'!$B$4:$F$53,5,FALSE),0)</f>
        <v>0</v>
      </c>
      <c r="F37" s="45">
        <f>IFERROR(VLOOKUP(A37,'Cad. Materiais'!$B$4:$G$53,6,FALSE),0)</f>
        <v>0</v>
      </c>
      <c r="G37" s="46">
        <f>IFERROR(VLOOKUP(A37,'Cad. Materiais'!$B$4:$H$53,7,FALSE),0)</f>
        <v>0</v>
      </c>
      <c r="H37" s="14">
        <f>IFERROR(SUMIFS(Movimentações!$E$4:$E$5000,Movimentações!$C$4:$C$5000,A37,Movimentações!$D$4:$D$5000,"Entrada"),0)</f>
        <v>0</v>
      </c>
      <c r="I37" s="15">
        <f>IFERROR(SUMIFS(Movimentações!$E$4:$E$5000,Movimentações!$C$4:$C$5000,A37,Movimentações!$D$4:$D$5000,"Saída"),0)</f>
        <v>0</v>
      </c>
      <c r="J37" s="47" t="str">
        <f t="shared" si="7"/>
        <v/>
      </c>
      <c r="K37" s="48" t="str">
        <f t="shared" si="8"/>
        <v/>
      </c>
      <c r="L37" s="49" t="str">
        <f t="shared" si="9"/>
        <v/>
      </c>
      <c r="M37" s="50">
        <f>IF(I37=0,0,IFERROR(I37/MAX(1,SUMPRODUCT(MAX((Movimentações!$C$4:$C$5000=A37)*(Movimentações!$D$4:$D$5000="Saída")*Movimentações!$B$4:$B$5000))-SUMPRODUCT(MIN(IF((Movimentações!$C$4:$C$5000=A37)*(Movimentações!$D$4:$D$5000="Saída")=1,Movimentações!$B$4:$B$5000)))+1),0))</f>
        <v>0</v>
      </c>
      <c r="N37" s="51" t="str">
        <f t="shared" si="10"/>
        <v>-</v>
      </c>
      <c r="O37" s="52">
        <f t="shared" si="11"/>
        <v>0</v>
      </c>
      <c r="P37" s="28" t="str">
        <f>IF(A37="","",IF(COUNTIF(Movimentações!$C$4:$C$5000,A37)=0,"Sem movim.",SUMPRODUCT(MAX((Movimentações!$C$4:$C$5000=A37)*Movimentações!$B$4:$B$5000))))</f>
        <v/>
      </c>
      <c r="Q37" s="53">
        <f t="shared" si="12"/>
        <v>999999</v>
      </c>
      <c r="R37" s="54">
        <f t="shared" si="13"/>
        <v>-3.6999999999999999E-4</v>
      </c>
    </row>
    <row r="38" spans="1:18" x14ac:dyDescent="0.25">
      <c r="A38" s="5" t="str">
        <f>IF('Cad. Materiais'!B38="","",'Cad. Materiais'!B38)</f>
        <v/>
      </c>
      <c r="B38" s="31" t="str">
        <f>IFERROR(VLOOKUP(A38,'Cad. Materiais'!$B$4:$D$53,3,FALSE),"")</f>
        <v/>
      </c>
      <c r="C38" s="12" t="str">
        <f>IFERROR(VLOOKUP(A38,'Cad. Materiais'!$B$4:$C$53,2,FALSE),"")</f>
        <v/>
      </c>
      <c r="D38" s="32">
        <f>IFERROR(VLOOKUP(A38,'Cad. Materiais'!$B$4:$E$53,4,FALSE),0)</f>
        <v>0</v>
      </c>
      <c r="E38" s="32">
        <f>IFERROR(VLOOKUP(A38,'Cad. Materiais'!$B$4:$F$53,5,FALSE),0)</f>
        <v>0</v>
      </c>
      <c r="F38" s="33">
        <f>IFERROR(VLOOKUP(A38,'Cad. Materiais'!$B$4:$G$53,6,FALSE),0)</f>
        <v>0</v>
      </c>
      <c r="G38" s="34">
        <f>IFERROR(VLOOKUP(A38,'Cad. Materiais'!$B$4:$H$53,7,FALSE),0)</f>
        <v>0</v>
      </c>
      <c r="H38" s="6">
        <f>IFERROR(SUMIFS(Movimentações!$E$4:$E$5000,Movimentações!$C$4:$C$5000,A38,Movimentações!$D$4:$D$5000,"Entrada"),0)</f>
        <v>0</v>
      </c>
      <c r="I38" s="7">
        <f>IFERROR(SUMIFS(Movimentações!$E$4:$E$5000,Movimentações!$C$4:$C$5000,A38,Movimentações!$D$4:$D$5000,"Saída"),0)</f>
        <v>0</v>
      </c>
      <c r="J38" s="35" t="str">
        <f t="shared" si="7"/>
        <v/>
      </c>
      <c r="K38" s="36" t="str">
        <f t="shared" si="8"/>
        <v/>
      </c>
      <c r="L38" s="37" t="str">
        <f t="shared" si="9"/>
        <v/>
      </c>
      <c r="M38" s="38">
        <f>IF(I38=0,0,IFERROR(I38/MAX(1,SUMPRODUCT(MAX((Movimentações!$C$4:$C$5000=A38)*(Movimentações!$D$4:$D$5000="Saída")*Movimentações!$B$4:$B$5000))-SUMPRODUCT(MIN(IF((Movimentações!$C$4:$C$5000=A38)*(Movimentações!$D$4:$D$5000="Saída")=1,Movimentações!$B$4:$B$5000)))+1),0))</f>
        <v>0</v>
      </c>
      <c r="N38" s="39" t="str">
        <f t="shared" si="10"/>
        <v>-</v>
      </c>
      <c r="O38" s="40">
        <f t="shared" si="11"/>
        <v>0</v>
      </c>
      <c r="P38" s="26" t="str">
        <f>IF(A38="","",IF(COUNTIF(Movimentações!$C$4:$C$5000,A38)=0,"Sem movim.",SUMPRODUCT(MAX((Movimentações!$C$4:$C$5000=A38)*Movimentações!$B$4:$B$5000))))</f>
        <v/>
      </c>
      <c r="Q38" s="41">
        <f t="shared" si="12"/>
        <v>999999</v>
      </c>
      <c r="R38" s="42">
        <f t="shared" si="13"/>
        <v>-3.8000000000000002E-4</v>
      </c>
    </row>
    <row r="39" spans="1:18" x14ac:dyDescent="0.25">
      <c r="A39" s="13" t="str">
        <f>IF('Cad. Materiais'!B39="","",'Cad. Materiais'!B39)</f>
        <v/>
      </c>
      <c r="B39" s="43" t="str">
        <f>IFERROR(VLOOKUP(A39,'Cad. Materiais'!$B$4:$D$53,3,FALSE),"")</f>
        <v/>
      </c>
      <c r="C39" s="20" t="str">
        <f>IFERROR(VLOOKUP(A39,'Cad. Materiais'!$B$4:$C$53,2,FALSE),"")</f>
        <v/>
      </c>
      <c r="D39" s="44">
        <f>IFERROR(VLOOKUP(A39,'Cad. Materiais'!$B$4:$E$53,4,FALSE),0)</f>
        <v>0</v>
      </c>
      <c r="E39" s="44">
        <f>IFERROR(VLOOKUP(A39,'Cad. Materiais'!$B$4:$F$53,5,FALSE),0)</f>
        <v>0</v>
      </c>
      <c r="F39" s="45">
        <f>IFERROR(VLOOKUP(A39,'Cad. Materiais'!$B$4:$G$53,6,FALSE),0)</f>
        <v>0</v>
      </c>
      <c r="G39" s="46">
        <f>IFERROR(VLOOKUP(A39,'Cad. Materiais'!$B$4:$H$53,7,FALSE),0)</f>
        <v>0</v>
      </c>
      <c r="H39" s="14">
        <f>IFERROR(SUMIFS(Movimentações!$E$4:$E$5000,Movimentações!$C$4:$C$5000,A39,Movimentações!$D$4:$D$5000,"Entrada"),0)</f>
        <v>0</v>
      </c>
      <c r="I39" s="15">
        <f>IFERROR(SUMIFS(Movimentações!$E$4:$E$5000,Movimentações!$C$4:$C$5000,A39,Movimentações!$D$4:$D$5000,"Saída"),0)</f>
        <v>0</v>
      </c>
      <c r="J39" s="47" t="str">
        <f t="shared" si="7"/>
        <v/>
      </c>
      <c r="K39" s="48" t="str">
        <f t="shared" si="8"/>
        <v/>
      </c>
      <c r="L39" s="49" t="str">
        <f t="shared" si="9"/>
        <v/>
      </c>
      <c r="M39" s="50">
        <f>IF(I39=0,0,IFERROR(I39/MAX(1,SUMPRODUCT(MAX((Movimentações!$C$4:$C$5000=A39)*(Movimentações!$D$4:$D$5000="Saída")*Movimentações!$B$4:$B$5000))-SUMPRODUCT(MIN(IF((Movimentações!$C$4:$C$5000=A39)*(Movimentações!$D$4:$D$5000="Saída")=1,Movimentações!$B$4:$B$5000)))+1),0))</f>
        <v>0</v>
      </c>
      <c r="N39" s="51" t="str">
        <f t="shared" si="10"/>
        <v>-</v>
      </c>
      <c r="O39" s="52">
        <f t="shared" si="11"/>
        <v>0</v>
      </c>
      <c r="P39" s="28" t="str">
        <f>IF(A39="","",IF(COUNTIF(Movimentações!$C$4:$C$5000,A39)=0,"Sem movim.",SUMPRODUCT(MAX((Movimentações!$C$4:$C$5000=A39)*Movimentações!$B$4:$B$5000))))</f>
        <v/>
      </c>
      <c r="Q39" s="53">
        <f t="shared" si="12"/>
        <v>999999</v>
      </c>
      <c r="R39" s="54">
        <f t="shared" si="13"/>
        <v>-3.8999999999999999E-4</v>
      </c>
    </row>
    <row r="40" spans="1:18" x14ac:dyDescent="0.25">
      <c r="A40" s="5" t="str">
        <f>IF('Cad. Materiais'!B40="","",'Cad. Materiais'!B40)</f>
        <v/>
      </c>
      <c r="B40" s="31" t="str">
        <f>IFERROR(VLOOKUP(A40,'Cad. Materiais'!$B$4:$D$53,3,FALSE),"")</f>
        <v/>
      </c>
      <c r="C40" s="12" t="str">
        <f>IFERROR(VLOOKUP(A40,'Cad. Materiais'!$B$4:$C$53,2,FALSE),"")</f>
        <v/>
      </c>
      <c r="D40" s="32">
        <f>IFERROR(VLOOKUP(A40,'Cad. Materiais'!$B$4:$E$53,4,FALSE),0)</f>
        <v>0</v>
      </c>
      <c r="E40" s="32">
        <f>IFERROR(VLOOKUP(A40,'Cad. Materiais'!$B$4:$F$53,5,FALSE),0)</f>
        <v>0</v>
      </c>
      <c r="F40" s="33">
        <f>IFERROR(VLOOKUP(A40,'Cad. Materiais'!$B$4:$G$53,6,FALSE),0)</f>
        <v>0</v>
      </c>
      <c r="G40" s="34">
        <f>IFERROR(VLOOKUP(A40,'Cad. Materiais'!$B$4:$H$53,7,FALSE),0)</f>
        <v>0</v>
      </c>
      <c r="H40" s="6">
        <f>IFERROR(SUMIFS(Movimentações!$E$4:$E$5000,Movimentações!$C$4:$C$5000,A40,Movimentações!$D$4:$D$5000,"Entrada"),0)</f>
        <v>0</v>
      </c>
      <c r="I40" s="7">
        <f>IFERROR(SUMIFS(Movimentações!$E$4:$E$5000,Movimentações!$C$4:$C$5000,A40,Movimentações!$D$4:$D$5000,"Saída"),0)</f>
        <v>0</v>
      </c>
      <c r="J40" s="35" t="str">
        <f t="shared" si="7"/>
        <v/>
      </c>
      <c r="K40" s="36" t="str">
        <f t="shared" si="8"/>
        <v/>
      </c>
      <c r="L40" s="37" t="str">
        <f t="shared" si="9"/>
        <v/>
      </c>
      <c r="M40" s="38">
        <f>IF(I40=0,0,IFERROR(I40/MAX(1,SUMPRODUCT(MAX((Movimentações!$C$4:$C$5000=A40)*(Movimentações!$D$4:$D$5000="Saída")*Movimentações!$B$4:$B$5000))-SUMPRODUCT(MIN(IF((Movimentações!$C$4:$C$5000=A40)*(Movimentações!$D$4:$D$5000="Saída")=1,Movimentações!$B$4:$B$5000)))+1),0))</f>
        <v>0</v>
      </c>
      <c r="N40" s="39" t="str">
        <f t="shared" si="10"/>
        <v>-</v>
      </c>
      <c r="O40" s="40">
        <f t="shared" si="11"/>
        <v>0</v>
      </c>
      <c r="P40" s="26" t="str">
        <f>IF(A40="","",IF(COUNTIF(Movimentações!$C$4:$C$5000,A40)=0,"Sem movim.",SUMPRODUCT(MAX((Movimentações!$C$4:$C$5000=A40)*Movimentações!$B$4:$B$5000))))</f>
        <v/>
      </c>
      <c r="Q40" s="41">
        <f t="shared" si="12"/>
        <v>999999</v>
      </c>
      <c r="R40" s="42">
        <f t="shared" si="13"/>
        <v>-4.0000000000000002E-4</v>
      </c>
    </row>
    <row r="41" spans="1:18" x14ac:dyDescent="0.25">
      <c r="A41" s="13" t="str">
        <f>IF('Cad. Materiais'!B41="","",'Cad. Materiais'!B41)</f>
        <v/>
      </c>
      <c r="B41" s="43" t="str">
        <f>IFERROR(VLOOKUP(A41,'Cad. Materiais'!$B$4:$D$53,3,FALSE),"")</f>
        <v/>
      </c>
      <c r="C41" s="20" t="str">
        <f>IFERROR(VLOOKUP(A41,'Cad. Materiais'!$B$4:$C$53,2,FALSE),"")</f>
        <v/>
      </c>
      <c r="D41" s="44">
        <f>IFERROR(VLOOKUP(A41,'Cad. Materiais'!$B$4:$E$53,4,FALSE),0)</f>
        <v>0</v>
      </c>
      <c r="E41" s="44">
        <f>IFERROR(VLOOKUP(A41,'Cad. Materiais'!$B$4:$F$53,5,FALSE),0)</f>
        <v>0</v>
      </c>
      <c r="F41" s="45">
        <f>IFERROR(VLOOKUP(A41,'Cad. Materiais'!$B$4:$G$53,6,FALSE),0)</f>
        <v>0</v>
      </c>
      <c r="G41" s="46">
        <f>IFERROR(VLOOKUP(A41,'Cad. Materiais'!$B$4:$H$53,7,FALSE),0)</f>
        <v>0</v>
      </c>
      <c r="H41" s="14">
        <f>IFERROR(SUMIFS(Movimentações!$E$4:$E$5000,Movimentações!$C$4:$C$5000,A41,Movimentações!$D$4:$D$5000,"Entrada"),0)</f>
        <v>0</v>
      </c>
      <c r="I41" s="15">
        <f>IFERROR(SUMIFS(Movimentações!$E$4:$E$5000,Movimentações!$C$4:$C$5000,A41,Movimentações!$D$4:$D$5000,"Saída"),0)</f>
        <v>0</v>
      </c>
      <c r="J41" s="47" t="str">
        <f t="shared" si="7"/>
        <v/>
      </c>
      <c r="K41" s="48" t="str">
        <f t="shared" si="8"/>
        <v/>
      </c>
      <c r="L41" s="49" t="str">
        <f t="shared" si="9"/>
        <v/>
      </c>
      <c r="M41" s="50">
        <f>IF(I41=0,0,IFERROR(I41/MAX(1,SUMPRODUCT(MAX((Movimentações!$C$4:$C$5000=A41)*(Movimentações!$D$4:$D$5000="Saída")*Movimentações!$B$4:$B$5000))-SUMPRODUCT(MIN(IF((Movimentações!$C$4:$C$5000=A41)*(Movimentações!$D$4:$D$5000="Saída")=1,Movimentações!$B$4:$B$5000)))+1),0))</f>
        <v>0</v>
      </c>
      <c r="N41" s="51" t="str">
        <f t="shared" si="10"/>
        <v>-</v>
      </c>
      <c r="O41" s="52">
        <f t="shared" si="11"/>
        <v>0</v>
      </c>
      <c r="P41" s="28" t="str">
        <f>IF(A41="","",IF(COUNTIF(Movimentações!$C$4:$C$5000,A41)=0,"Sem movim.",SUMPRODUCT(MAX((Movimentações!$C$4:$C$5000=A41)*Movimentações!$B$4:$B$5000))))</f>
        <v/>
      </c>
      <c r="Q41" s="53">
        <f t="shared" si="12"/>
        <v>999999</v>
      </c>
      <c r="R41" s="54">
        <f t="shared" si="13"/>
        <v>-4.0999999999999999E-4</v>
      </c>
    </row>
    <row r="42" spans="1:18" x14ac:dyDescent="0.25">
      <c r="A42" s="5" t="str">
        <f>IF('Cad. Materiais'!B42="","",'Cad. Materiais'!B42)</f>
        <v/>
      </c>
      <c r="B42" s="31" t="str">
        <f>IFERROR(VLOOKUP(A42,'Cad. Materiais'!$B$4:$D$53,3,FALSE),"")</f>
        <v/>
      </c>
      <c r="C42" s="12" t="str">
        <f>IFERROR(VLOOKUP(A42,'Cad. Materiais'!$B$4:$C$53,2,FALSE),"")</f>
        <v/>
      </c>
      <c r="D42" s="32">
        <f>IFERROR(VLOOKUP(A42,'Cad. Materiais'!$B$4:$E$53,4,FALSE),0)</f>
        <v>0</v>
      </c>
      <c r="E42" s="32">
        <f>IFERROR(VLOOKUP(A42,'Cad. Materiais'!$B$4:$F$53,5,FALSE),0)</f>
        <v>0</v>
      </c>
      <c r="F42" s="33">
        <f>IFERROR(VLOOKUP(A42,'Cad. Materiais'!$B$4:$G$53,6,FALSE),0)</f>
        <v>0</v>
      </c>
      <c r="G42" s="34">
        <f>IFERROR(VLOOKUP(A42,'Cad. Materiais'!$B$4:$H$53,7,FALSE),0)</f>
        <v>0</v>
      </c>
      <c r="H42" s="6">
        <f>IFERROR(SUMIFS(Movimentações!$E$4:$E$5000,Movimentações!$C$4:$C$5000,A42,Movimentações!$D$4:$D$5000,"Entrada"),0)</f>
        <v>0</v>
      </c>
      <c r="I42" s="7">
        <f>IFERROR(SUMIFS(Movimentações!$E$4:$E$5000,Movimentações!$C$4:$C$5000,A42,Movimentações!$D$4:$D$5000,"Saída"),0)</f>
        <v>0</v>
      </c>
      <c r="J42" s="35" t="str">
        <f t="shared" si="7"/>
        <v/>
      </c>
      <c r="K42" s="36" t="str">
        <f t="shared" si="8"/>
        <v/>
      </c>
      <c r="L42" s="37" t="str">
        <f t="shared" si="9"/>
        <v/>
      </c>
      <c r="M42" s="38">
        <f>IF(I42=0,0,IFERROR(I42/MAX(1,SUMPRODUCT(MAX((Movimentações!$C$4:$C$5000=A42)*(Movimentações!$D$4:$D$5000="Saída")*Movimentações!$B$4:$B$5000))-SUMPRODUCT(MIN(IF((Movimentações!$C$4:$C$5000=A42)*(Movimentações!$D$4:$D$5000="Saída")=1,Movimentações!$B$4:$B$5000)))+1),0))</f>
        <v>0</v>
      </c>
      <c r="N42" s="39" t="str">
        <f t="shared" si="10"/>
        <v>-</v>
      </c>
      <c r="O42" s="40">
        <f t="shared" si="11"/>
        <v>0</v>
      </c>
      <c r="P42" s="26" t="str">
        <f>IF(A42="","",IF(COUNTIF(Movimentações!$C$4:$C$5000,A42)=0,"Sem movim.",SUMPRODUCT(MAX((Movimentações!$C$4:$C$5000=A42)*Movimentações!$B$4:$B$5000))))</f>
        <v/>
      </c>
      <c r="Q42" s="41">
        <f t="shared" si="12"/>
        <v>999999</v>
      </c>
      <c r="R42" s="42">
        <f t="shared" si="13"/>
        <v>-4.2000000000000002E-4</v>
      </c>
    </row>
    <row r="43" spans="1:18" x14ac:dyDescent="0.25">
      <c r="A43" s="13" t="str">
        <f>IF('Cad. Materiais'!B43="","",'Cad. Materiais'!B43)</f>
        <v/>
      </c>
      <c r="B43" s="43" t="str">
        <f>IFERROR(VLOOKUP(A43,'Cad. Materiais'!$B$4:$D$53,3,FALSE),"")</f>
        <v/>
      </c>
      <c r="C43" s="20" t="str">
        <f>IFERROR(VLOOKUP(A43,'Cad. Materiais'!$B$4:$C$53,2,FALSE),"")</f>
        <v/>
      </c>
      <c r="D43" s="44">
        <f>IFERROR(VLOOKUP(A43,'Cad. Materiais'!$B$4:$E$53,4,FALSE),0)</f>
        <v>0</v>
      </c>
      <c r="E43" s="44">
        <f>IFERROR(VLOOKUP(A43,'Cad. Materiais'!$B$4:$F$53,5,FALSE),0)</f>
        <v>0</v>
      </c>
      <c r="F43" s="45">
        <f>IFERROR(VLOOKUP(A43,'Cad. Materiais'!$B$4:$G$53,6,FALSE),0)</f>
        <v>0</v>
      </c>
      <c r="G43" s="46">
        <f>IFERROR(VLOOKUP(A43,'Cad. Materiais'!$B$4:$H$53,7,FALSE),0)</f>
        <v>0</v>
      </c>
      <c r="H43" s="14">
        <f>IFERROR(SUMIFS(Movimentações!$E$4:$E$5000,Movimentações!$C$4:$C$5000,A43,Movimentações!$D$4:$D$5000,"Entrada"),0)</f>
        <v>0</v>
      </c>
      <c r="I43" s="15">
        <f>IFERROR(SUMIFS(Movimentações!$E$4:$E$5000,Movimentações!$C$4:$C$5000,A43,Movimentações!$D$4:$D$5000,"Saída"),0)</f>
        <v>0</v>
      </c>
      <c r="J43" s="47" t="str">
        <f t="shared" si="7"/>
        <v/>
      </c>
      <c r="K43" s="48" t="str">
        <f t="shared" si="8"/>
        <v/>
      </c>
      <c r="L43" s="49" t="str">
        <f t="shared" si="9"/>
        <v/>
      </c>
      <c r="M43" s="50">
        <f>IF(I43=0,0,IFERROR(I43/MAX(1,SUMPRODUCT(MAX((Movimentações!$C$4:$C$5000=A43)*(Movimentações!$D$4:$D$5000="Saída")*Movimentações!$B$4:$B$5000))-SUMPRODUCT(MIN(IF((Movimentações!$C$4:$C$5000=A43)*(Movimentações!$D$4:$D$5000="Saída")=1,Movimentações!$B$4:$B$5000)))+1),0))</f>
        <v>0</v>
      </c>
      <c r="N43" s="51" t="str">
        <f t="shared" si="10"/>
        <v>-</v>
      </c>
      <c r="O43" s="52">
        <f t="shared" si="11"/>
        <v>0</v>
      </c>
      <c r="P43" s="28" t="str">
        <f>IF(A43="","",IF(COUNTIF(Movimentações!$C$4:$C$5000,A43)=0,"Sem movim.",SUMPRODUCT(MAX((Movimentações!$C$4:$C$5000=A43)*Movimentações!$B$4:$B$5000))))</f>
        <v/>
      </c>
      <c r="Q43" s="53">
        <f t="shared" si="12"/>
        <v>999999</v>
      </c>
      <c r="R43" s="54">
        <f t="shared" si="13"/>
        <v>-4.2999999999999999E-4</v>
      </c>
    </row>
    <row r="44" spans="1:18" x14ac:dyDescent="0.25">
      <c r="A44" s="5" t="str">
        <f>IF('Cad. Materiais'!B44="","",'Cad. Materiais'!B44)</f>
        <v/>
      </c>
      <c r="B44" s="31" t="str">
        <f>IFERROR(VLOOKUP(A44,'Cad. Materiais'!$B$4:$D$53,3,FALSE),"")</f>
        <v/>
      </c>
      <c r="C44" s="12" t="str">
        <f>IFERROR(VLOOKUP(A44,'Cad. Materiais'!$B$4:$C$53,2,FALSE),"")</f>
        <v/>
      </c>
      <c r="D44" s="32">
        <f>IFERROR(VLOOKUP(A44,'Cad. Materiais'!$B$4:$E$53,4,FALSE),0)</f>
        <v>0</v>
      </c>
      <c r="E44" s="32">
        <f>IFERROR(VLOOKUP(A44,'Cad. Materiais'!$B$4:$F$53,5,FALSE),0)</f>
        <v>0</v>
      </c>
      <c r="F44" s="33">
        <f>IFERROR(VLOOKUP(A44,'Cad. Materiais'!$B$4:$G$53,6,FALSE),0)</f>
        <v>0</v>
      </c>
      <c r="G44" s="34">
        <f>IFERROR(VLOOKUP(A44,'Cad. Materiais'!$B$4:$H$53,7,FALSE),0)</f>
        <v>0</v>
      </c>
      <c r="H44" s="6">
        <f>IFERROR(SUMIFS(Movimentações!$E$4:$E$5000,Movimentações!$C$4:$C$5000,A44,Movimentações!$D$4:$D$5000,"Entrada"),0)</f>
        <v>0</v>
      </c>
      <c r="I44" s="7">
        <f>IFERROR(SUMIFS(Movimentações!$E$4:$E$5000,Movimentações!$C$4:$C$5000,A44,Movimentações!$D$4:$D$5000,"Saída"),0)</f>
        <v>0</v>
      </c>
      <c r="J44" s="35" t="str">
        <f t="shared" si="7"/>
        <v/>
      </c>
      <c r="K44" s="36" t="str">
        <f t="shared" si="8"/>
        <v/>
      </c>
      <c r="L44" s="37" t="str">
        <f t="shared" si="9"/>
        <v/>
      </c>
      <c r="M44" s="38">
        <f>IF(I44=0,0,IFERROR(I44/MAX(1,SUMPRODUCT(MAX((Movimentações!$C$4:$C$5000=A44)*(Movimentações!$D$4:$D$5000="Saída")*Movimentações!$B$4:$B$5000))-SUMPRODUCT(MIN(IF((Movimentações!$C$4:$C$5000=A44)*(Movimentações!$D$4:$D$5000="Saída")=1,Movimentações!$B$4:$B$5000)))+1),0))</f>
        <v>0</v>
      </c>
      <c r="N44" s="39" t="str">
        <f t="shared" si="10"/>
        <v>-</v>
      </c>
      <c r="O44" s="40">
        <f t="shared" si="11"/>
        <v>0</v>
      </c>
      <c r="P44" s="26" t="str">
        <f>IF(A44="","",IF(COUNTIF(Movimentações!$C$4:$C$5000,A44)=0,"Sem movim.",SUMPRODUCT(MAX((Movimentações!$C$4:$C$5000=A44)*Movimentações!$B$4:$B$5000))))</f>
        <v/>
      </c>
      <c r="Q44" s="41">
        <f t="shared" si="12"/>
        <v>999999</v>
      </c>
      <c r="R44" s="42">
        <f t="shared" si="13"/>
        <v>-4.4000000000000002E-4</v>
      </c>
    </row>
    <row r="45" spans="1:18" x14ac:dyDescent="0.25">
      <c r="A45" s="13" t="str">
        <f>IF('Cad. Materiais'!B45="","",'Cad. Materiais'!B45)</f>
        <v/>
      </c>
      <c r="B45" s="43" t="str">
        <f>IFERROR(VLOOKUP(A45,'Cad. Materiais'!$B$4:$D$53,3,FALSE),"")</f>
        <v/>
      </c>
      <c r="C45" s="20" t="str">
        <f>IFERROR(VLOOKUP(A45,'Cad. Materiais'!$B$4:$C$53,2,FALSE),"")</f>
        <v/>
      </c>
      <c r="D45" s="44">
        <f>IFERROR(VLOOKUP(A45,'Cad. Materiais'!$B$4:$E$53,4,FALSE),0)</f>
        <v>0</v>
      </c>
      <c r="E45" s="44">
        <f>IFERROR(VLOOKUP(A45,'Cad. Materiais'!$B$4:$F$53,5,FALSE),0)</f>
        <v>0</v>
      </c>
      <c r="F45" s="45">
        <f>IFERROR(VLOOKUP(A45,'Cad. Materiais'!$B$4:$G$53,6,FALSE),0)</f>
        <v>0</v>
      </c>
      <c r="G45" s="46">
        <f>IFERROR(VLOOKUP(A45,'Cad. Materiais'!$B$4:$H$53,7,FALSE),0)</f>
        <v>0</v>
      </c>
      <c r="H45" s="14">
        <f>IFERROR(SUMIFS(Movimentações!$E$4:$E$5000,Movimentações!$C$4:$C$5000,A45,Movimentações!$D$4:$D$5000,"Entrada"),0)</f>
        <v>0</v>
      </c>
      <c r="I45" s="15">
        <f>IFERROR(SUMIFS(Movimentações!$E$4:$E$5000,Movimentações!$C$4:$C$5000,A45,Movimentações!$D$4:$D$5000,"Saída"),0)</f>
        <v>0</v>
      </c>
      <c r="J45" s="47" t="str">
        <f t="shared" si="7"/>
        <v/>
      </c>
      <c r="K45" s="48" t="str">
        <f t="shared" si="8"/>
        <v/>
      </c>
      <c r="L45" s="49" t="str">
        <f t="shared" si="9"/>
        <v/>
      </c>
      <c r="M45" s="50">
        <f>IF(I45=0,0,IFERROR(I45/MAX(1,SUMPRODUCT(MAX((Movimentações!$C$4:$C$5000=A45)*(Movimentações!$D$4:$D$5000="Saída")*Movimentações!$B$4:$B$5000))-SUMPRODUCT(MIN(IF((Movimentações!$C$4:$C$5000=A45)*(Movimentações!$D$4:$D$5000="Saída")=1,Movimentações!$B$4:$B$5000)))+1),0))</f>
        <v>0</v>
      </c>
      <c r="N45" s="51" t="str">
        <f t="shared" si="10"/>
        <v>-</v>
      </c>
      <c r="O45" s="52">
        <f t="shared" si="11"/>
        <v>0</v>
      </c>
      <c r="P45" s="28" t="str">
        <f>IF(A45="","",IF(COUNTIF(Movimentações!$C$4:$C$5000,A45)=0,"Sem movim.",SUMPRODUCT(MAX((Movimentações!$C$4:$C$5000=A45)*Movimentações!$B$4:$B$5000))))</f>
        <v/>
      </c>
      <c r="Q45" s="53">
        <f t="shared" si="12"/>
        <v>999999</v>
      </c>
      <c r="R45" s="54">
        <f t="shared" si="13"/>
        <v>-4.4999999999999999E-4</v>
      </c>
    </row>
    <row r="46" spans="1:18" x14ac:dyDescent="0.25">
      <c r="A46" s="5" t="str">
        <f>IF('Cad. Materiais'!B46="","",'Cad. Materiais'!B46)</f>
        <v/>
      </c>
      <c r="B46" s="31" t="str">
        <f>IFERROR(VLOOKUP(A46,'Cad. Materiais'!$B$4:$D$53,3,FALSE),"")</f>
        <v/>
      </c>
      <c r="C46" s="12" t="str">
        <f>IFERROR(VLOOKUP(A46,'Cad. Materiais'!$B$4:$C$53,2,FALSE),"")</f>
        <v/>
      </c>
      <c r="D46" s="32">
        <f>IFERROR(VLOOKUP(A46,'Cad. Materiais'!$B$4:$E$53,4,FALSE),0)</f>
        <v>0</v>
      </c>
      <c r="E46" s="32">
        <f>IFERROR(VLOOKUP(A46,'Cad. Materiais'!$B$4:$F$53,5,FALSE),0)</f>
        <v>0</v>
      </c>
      <c r="F46" s="33">
        <f>IFERROR(VLOOKUP(A46,'Cad. Materiais'!$B$4:$G$53,6,FALSE),0)</f>
        <v>0</v>
      </c>
      <c r="G46" s="34">
        <f>IFERROR(VLOOKUP(A46,'Cad. Materiais'!$B$4:$H$53,7,FALSE),0)</f>
        <v>0</v>
      </c>
      <c r="H46" s="6">
        <f>IFERROR(SUMIFS(Movimentações!$E$4:$E$5000,Movimentações!$C$4:$C$5000,A46,Movimentações!$D$4:$D$5000,"Entrada"),0)</f>
        <v>0</v>
      </c>
      <c r="I46" s="7">
        <f>IFERROR(SUMIFS(Movimentações!$E$4:$E$5000,Movimentações!$C$4:$C$5000,A46,Movimentações!$D$4:$D$5000,"Saída"),0)</f>
        <v>0</v>
      </c>
      <c r="J46" s="35" t="str">
        <f t="shared" si="7"/>
        <v/>
      </c>
      <c r="K46" s="36" t="str">
        <f t="shared" si="8"/>
        <v/>
      </c>
      <c r="L46" s="37" t="str">
        <f t="shared" si="9"/>
        <v/>
      </c>
      <c r="M46" s="38">
        <f>IF(I46=0,0,IFERROR(I46/MAX(1,SUMPRODUCT(MAX((Movimentações!$C$4:$C$5000=A46)*(Movimentações!$D$4:$D$5000="Saída")*Movimentações!$B$4:$B$5000))-SUMPRODUCT(MIN(IF((Movimentações!$C$4:$C$5000=A46)*(Movimentações!$D$4:$D$5000="Saída")=1,Movimentações!$B$4:$B$5000)))+1),0))</f>
        <v>0</v>
      </c>
      <c r="N46" s="39" t="str">
        <f t="shared" si="10"/>
        <v>-</v>
      </c>
      <c r="O46" s="40">
        <f t="shared" si="11"/>
        <v>0</v>
      </c>
      <c r="P46" s="26" t="str">
        <f>IF(A46="","",IF(COUNTIF(Movimentações!$C$4:$C$5000,A46)=0,"Sem movim.",SUMPRODUCT(MAX((Movimentações!$C$4:$C$5000=A46)*Movimentações!$B$4:$B$5000))))</f>
        <v/>
      </c>
      <c r="Q46" s="41">
        <f t="shared" si="12"/>
        <v>999999</v>
      </c>
      <c r="R46" s="42">
        <f t="shared" si="13"/>
        <v>-4.6000000000000001E-4</v>
      </c>
    </row>
    <row r="47" spans="1:18" x14ac:dyDescent="0.25">
      <c r="A47" s="13" t="str">
        <f>IF('Cad. Materiais'!B47="","",'Cad. Materiais'!B47)</f>
        <v/>
      </c>
      <c r="B47" s="43" t="str">
        <f>IFERROR(VLOOKUP(A47,'Cad. Materiais'!$B$4:$D$53,3,FALSE),"")</f>
        <v/>
      </c>
      <c r="C47" s="20" t="str">
        <f>IFERROR(VLOOKUP(A47,'Cad. Materiais'!$B$4:$C$53,2,FALSE),"")</f>
        <v/>
      </c>
      <c r="D47" s="44">
        <f>IFERROR(VLOOKUP(A47,'Cad. Materiais'!$B$4:$E$53,4,FALSE),0)</f>
        <v>0</v>
      </c>
      <c r="E47" s="44">
        <f>IFERROR(VLOOKUP(A47,'Cad. Materiais'!$B$4:$F$53,5,FALSE),0)</f>
        <v>0</v>
      </c>
      <c r="F47" s="45">
        <f>IFERROR(VLOOKUP(A47,'Cad. Materiais'!$B$4:$G$53,6,FALSE),0)</f>
        <v>0</v>
      </c>
      <c r="G47" s="46">
        <f>IFERROR(VLOOKUP(A47,'Cad. Materiais'!$B$4:$H$53,7,FALSE),0)</f>
        <v>0</v>
      </c>
      <c r="H47" s="14">
        <f>IFERROR(SUMIFS(Movimentações!$E$4:$E$5000,Movimentações!$C$4:$C$5000,A47,Movimentações!$D$4:$D$5000,"Entrada"),0)</f>
        <v>0</v>
      </c>
      <c r="I47" s="15">
        <f>IFERROR(SUMIFS(Movimentações!$E$4:$E$5000,Movimentações!$C$4:$C$5000,A47,Movimentações!$D$4:$D$5000,"Saída"),0)</f>
        <v>0</v>
      </c>
      <c r="J47" s="47" t="str">
        <f t="shared" si="7"/>
        <v/>
      </c>
      <c r="K47" s="48" t="str">
        <f t="shared" si="8"/>
        <v/>
      </c>
      <c r="L47" s="49" t="str">
        <f t="shared" si="9"/>
        <v/>
      </c>
      <c r="M47" s="50">
        <f>IF(I47=0,0,IFERROR(I47/MAX(1,SUMPRODUCT(MAX((Movimentações!$C$4:$C$5000=A47)*(Movimentações!$D$4:$D$5000="Saída")*Movimentações!$B$4:$B$5000))-SUMPRODUCT(MIN(IF((Movimentações!$C$4:$C$5000=A47)*(Movimentações!$D$4:$D$5000="Saída")=1,Movimentações!$B$4:$B$5000)))+1),0))</f>
        <v>0</v>
      </c>
      <c r="N47" s="51" t="str">
        <f t="shared" si="10"/>
        <v>-</v>
      </c>
      <c r="O47" s="52">
        <f t="shared" si="11"/>
        <v>0</v>
      </c>
      <c r="P47" s="28" t="str">
        <f>IF(A47="","",IF(COUNTIF(Movimentações!$C$4:$C$5000,A47)=0,"Sem movim.",SUMPRODUCT(MAX((Movimentações!$C$4:$C$5000=A47)*Movimentações!$B$4:$B$5000))))</f>
        <v/>
      </c>
      <c r="Q47" s="53">
        <f t="shared" si="12"/>
        <v>999999</v>
      </c>
      <c r="R47" s="54">
        <f t="shared" si="13"/>
        <v>-4.6999999999999999E-4</v>
      </c>
    </row>
    <row r="48" spans="1:18" x14ac:dyDescent="0.25">
      <c r="A48" s="5" t="str">
        <f>IF('Cad. Materiais'!B48="","",'Cad. Materiais'!B48)</f>
        <v/>
      </c>
      <c r="B48" s="31" t="str">
        <f>IFERROR(VLOOKUP(A48,'Cad. Materiais'!$B$4:$D$53,3,FALSE),"")</f>
        <v/>
      </c>
      <c r="C48" s="12" t="str">
        <f>IFERROR(VLOOKUP(A48,'Cad. Materiais'!$B$4:$C$53,2,FALSE),"")</f>
        <v/>
      </c>
      <c r="D48" s="32">
        <f>IFERROR(VLOOKUP(A48,'Cad. Materiais'!$B$4:$E$53,4,FALSE),0)</f>
        <v>0</v>
      </c>
      <c r="E48" s="32">
        <f>IFERROR(VLOOKUP(A48,'Cad. Materiais'!$B$4:$F$53,5,FALSE),0)</f>
        <v>0</v>
      </c>
      <c r="F48" s="33">
        <f>IFERROR(VLOOKUP(A48,'Cad. Materiais'!$B$4:$G$53,6,FALSE),0)</f>
        <v>0</v>
      </c>
      <c r="G48" s="34">
        <f>IFERROR(VLOOKUP(A48,'Cad. Materiais'!$B$4:$H$53,7,FALSE),0)</f>
        <v>0</v>
      </c>
      <c r="H48" s="6">
        <f>IFERROR(SUMIFS(Movimentações!$E$4:$E$5000,Movimentações!$C$4:$C$5000,A48,Movimentações!$D$4:$D$5000,"Entrada"),0)</f>
        <v>0</v>
      </c>
      <c r="I48" s="7">
        <f>IFERROR(SUMIFS(Movimentações!$E$4:$E$5000,Movimentações!$C$4:$C$5000,A48,Movimentações!$D$4:$D$5000,"Saída"),0)</f>
        <v>0</v>
      </c>
      <c r="J48" s="35" t="str">
        <f t="shared" si="7"/>
        <v/>
      </c>
      <c r="K48" s="36" t="str">
        <f t="shared" si="8"/>
        <v/>
      </c>
      <c r="L48" s="37" t="str">
        <f t="shared" si="9"/>
        <v/>
      </c>
      <c r="M48" s="38">
        <f>IF(I48=0,0,IFERROR(I48/MAX(1,SUMPRODUCT(MAX((Movimentações!$C$4:$C$5000=A48)*(Movimentações!$D$4:$D$5000="Saída")*Movimentações!$B$4:$B$5000))-SUMPRODUCT(MIN(IF((Movimentações!$C$4:$C$5000=A48)*(Movimentações!$D$4:$D$5000="Saída")=1,Movimentações!$B$4:$B$5000)))+1),0))</f>
        <v>0</v>
      </c>
      <c r="N48" s="39" t="str">
        <f t="shared" si="10"/>
        <v>-</v>
      </c>
      <c r="O48" s="40">
        <f t="shared" si="11"/>
        <v>0</v>
      </c>
      <c r="P48" s="26" t="str">
        <f>IF(A48="","",IF(COUNTIF(Movimentações!$C$4:$C$5000,A48)=0,"Sem movim.",SUMPRODUCT(MAX((Movimentações!$C$4:$C$5000=A48)*Movimentações!$B$4:$B$5000))))</f>
        <v/>
      </c>
      <c r="Q48" s="41">
        <f t="shared" si="12"/>
        <v>999999</v>
      </c>
      <c r="R48" s="42">
        <f t="shared" si="13"/>
        <v>-4.8000000000000001E-4</v>
      </c>
    </row>
    <row r="49" spans="1:18" x14ac:dyDescent="0.25">
      <c r="A49" s="13" t="str">
        <f>IF('Cad. Materiais'!B49="","",'Cad. Materiais'!B49)</f>
        <v/>
      </c>
      <c r="B49" s="43" t="str">
        <f>IFERROR(VLOOKUP(A49,'Cad. Materiais'!$B$4:$D$53,3,FALSE),"")</f>
        <v/>
      </c>
      <c r="C49" s="20" t="str">
        <f>IFERROR(VLOOKUP(A49,'Cad. Materiais'!$B$4:$C$53,2,FALSE),"")</f>
        <v/>
      </c>
      <c r="D49" s="44">
        <f>IFERROR(VLOOKUP(A49,'Cad. Materiais'!$B$4:$E$53,4,FALSE),0)</f>
        <v>0</v>
      </c>
      <c r="E49" s="44">
        <f>IFERROR(VLOOKUP(A49,'Cad. Materiais'!$B$4:$F$53,5,FALSE),0)</f>
        <v>0</v>
      </c>
      <c r="F49" s="45">
        <f>IFERROR(VLOOKUP(A49,'Cad. Materiais'!$B$4:$G$53,6,FALSE),0)</f>
        <v>0</v>
      </c>
      <c r="G49" s="46">
        <f>IFERROR(VLOOKUP(A49,'Cad. Materiais'!$B$4:$H$53,7,FALSE),0)</f>
        <v>0</v>
      </c>
      <c r="H49" s="14">
        <f>IFERROR(SUMIFS(Movimentações!$E$4:$E$5000,Movimentações!$C$4:$C$5000,A49,Movimentações!$D$4:$D$5000,"Entrada"),0)</f>
        <v>0</v>
      </c>
      <c r="I49" s="15">
        <f>IFERROR(SUMIFS(Movimentações!$E$4:$E$5000,Movimentações!$C$4:$C$5000,A49,Movimentações!$D$4:$D$5000,"Saída"),0)</f>
        <v>0</v>
      </c>
      <c r="J49" s="47" t="str">
        <f t="shared" si="7"/>
        <v/>
      </c>
      <c r="K49" s="48" t="str">
        <f t="shared" si="8"/>
        <v/>
      </c>
      <c r="L49" s="49" t="str">
        <f t="shared" si="9"/>
        <v/>
      </c>
      <c r="M49" s="50">
        <f>IF(I49=0,0,IFERROR(I49/MAX(1,SUMPRODUCT(MAX((Movimentações!$C$4:$C$5000=A49)*(Movimentações!$D$4:$D$5000="Saída")*Movimentações!$B$4:$B$5000))-SUMPRODUCT(MIN(IF((Movimentações!$C$4:$C$5000=A49)*(Movimentações!$D$4:$D$5000="Saída")=1,Movimentações!$B$4:$B$5000)))+1),0))</f>
        <v>0</v>
      </c>
      <c r="N49" s="51" t="str">
        <f t="shared" si="10"/>
        <v>-</v>
      </c>
      <c r="O49" s="52">
        <f t="shared" si="11"/>
        <v>0</v>
      </c>
      <c r="P49" s="28" t="str">
        <f>IF(A49="","",IF(COUNTIF(Movimentações!$C$4:$C$5000,A49)=0,"Sem movim.",SUMPRODUCT(MAX((Movimentações!$C$4:$C$5000=A49)*Movimentações!$B$4:$B$5000))))</f>
        <v/>
      </c>
      <c r="Q49" s="53">
        <f t="shared" si="12"/>
        <v>999999</v>
      </c>
      <c r="R49" s="54">
        <f t="shared" si="13"/>
        <v>-4.8999999999999998E-4</v>
      </c>
    </row>
    <row r="50" spans="1:18" x14ac:dyDescent="0.25">
      <c r="A50" s="5" t="str">
        <f>IF('Cad. Materiais'!B50="","",'Cad. Materiais'!B50)</f>
        <v/>
      </c>
      <c r="B50" s="31" t="str">
        <f>IFERROR(VLOOKUP(A50,'Cad. Materiais'!$B$4:$D$53,3,FALSE),"")</f>
        <v/>
      </c>
      <c r="C50" s="12" t="str">
        <f>IFERROR(VLOOKUP(A50,'Cad. Materiais'!$B$4:$C$53,2,FALSE),"")</f>
        <v/>
      </c>
      <c r="D50" s="32">
        <f>IFERROR(VLOOKUP(A50,'Cad. Materiais'!$B$4:$E$53,4,FALSE),0)</f>
        <v>0</v>
      </c>
      <c r="E50" s="32">
        <f>IFERROR(VLOOKUP(A50,'Cad. Materiais'!$B$4:$F$53,5,FALSE),0)</f>
        <v>0</v>
      </c>
      <c r="F50" s="33">
        <f>IFERROR(VLOOKUP(A50,'Cad. Materiais'!$B$4:$G$53,6,FALSE),0)</f>
        <v>0</v>
      </c>
      <c r="G50" s="34">
        <f>IFERROR(VLOOKUP(A50,'Cad. Materiais'!$B$4:$H$53,7,FALSE),0)</f>
        <v>0</v>
      </c>
      <c r="H50" s="6">
        <f>IFERROR(SUMIFS(Movimentações!$E$4:$E$5000,Movimentações!$C$4:$C$5000,A50,Movimentações!$D$4:$D$5000,"Entrada"),0)</f>
        <v>0</v>
      </c>
      <c r="I50" s="7">
        <f>IFERROR(SUMIFS(Movimentações!$E$4:$E$5000,Movimentações!$C$4:$C$5000,A50,Movimentações!$D$4:$D$5000,"Saída"),0)</f>
        <v>0</v>
      </c>
      <c r="J50" s="35" t="str">
        <f t="shared" si="7"/>
        <v/>
      </c>
      <c r="K50" s="36" t="str">
        <f t="shared" si="8"/>
        <v/>
      </c>
      <c r="L50" s="37" t="str">
        <f t="shared" si="9"/>
        <v/>
      </c>
      <c r="M50" s="38">
        <f>IF(I50=0,0,IFERROR(I50/MAX(1,SUMPRODUCT(MAX((Movimentações!$C$4:$C$5000=A50)*(Movimentações!$D$4:$D$5000="Saída")*Movimentações!$B$4:$B$5000))-SUMPRODUCT(MIN(IF((Movimentações!$C$4:$C$5000=A50)*(Movimentações!$D$4:$D$5000="Saída")=1,Movimentações!$B$4:$B$5000)))+1),0))</f>
        <v>0</v>
      </c>
      <c r="N50" s="39" t="str">
        <f t="shared" si="10"/>
        <v>-</v>
      </c>
      <c r="O50" s="40">
        <f t="shared" si="11"/>
        <v>0</v>
      </c>
      <c r="P50" s="26" t="str">
        <f>IF(A50="","",IF(COUNTIF(Movimentações!$C$4:$C$5000,A50)=0,"Sem movim.",SUMPRODUCT(MAX((Movimentações!$C$4:$C$5000=A50)*Movimentações!$B$4:$B$5000))))</f>
        <v/>
      </c>
      <c r="Q50" s="41">
        <f t="shared" si="12"/>
        <v>999999</v>
      </c>
      <c r="R50" s="42">
        <f t="shared" si="13"/>
        <v>-5.0000000000000001E-4</v>
      </c>
    </row>
    <row r="51" spans="1:18" x14ac:dyDescent="0.25">
      <c r="A51" s="13" t="str">
        <f>IF('Cad. Materiais'!B51="","",'Cad. Materiais'!B51)</f>
        <v/>
      </c>
      <c r="B51" s="43" t="str">
        <f>IFERROR(VLOOKUP(A51,'Cad. Materiais'!$B$4:$D$53,3,FALSE),"")</f>
        <v/>
      </c>
      <c r="C51" s="20" t="str">
        <f>IFERROR(VLOOKUP(A51,'Cad. Materiais'!$B$4:$C$53,2,FALSE),"")</f>
        <v/>
      </c>
      <c r="D51" s="44">
        <f>IFERROR(VLOOKUP(A51,'Cad. Materiais'!$B$4:$E$53,4,FALSE),0)</f>
        <v>0</v>
      </c>
      <c r="E51" s="44">
        <f>IFERROR(VLOOKUP(A51,'Cad. Materiais'!$B$4:$F$53,5,FALSE),0)</f>
        <v>0</v>
      </c>
      <c r="F51" s="45">
        <f>IFERROR(VLOOKUP(A51,'Cad. Materiais'!$B$4:$G$53,6,FALSE),0)</f>
        <v>0</v>
      </c>
      <c r="G51" s="46">
        <f>IFERROR(VLOOKUP(A51,'Cad. Materiais'!$B$4:$H$53,7,FALSE),0)</f>
        <v>0</v>
      </c>
      <c r="H51" s="14">
        <f>IFERROR(SUMIFS(Movimentações!$E$4:$E$5000,Movimentações!$C$4:$C$5000,A51,Movimentações!$D$4:$D$5000,"Entrada"),0)</f>
        <v>0</v>
      </c>
      <c r="I51" s="15">
        <f>IFERROR(SUMIFS(Movimentações!$E$4:$E$5000,Movimentações!$C$4:$C$5000,A51,Movimentações!$D$4:$D$5000,"Saída"),0)</f>
        <v>0</v>
      </c>
      <c r="J51" s="47" t="str">
        <f t="shared" si="7"/>
        <v/>
      </c>
      <c r="K51" s="48" t="str">
        <f t="shared" si="8"/>
        <v/>
      </c>
      <c r="L51" s="49" t="str">
        <f t="shared" si="9"/>
        <v/>
      </c>
      <c r="M51" s="50">
        <f>IF(I51=0,0,IFERROR(I51/MAX(1,SUMPRODUCT(MAX((Movimentações!$C$4:$C$5000=A51)*(Movimentações!$D$4:$D$5000="Saída")*Movimentações!$B$4:$B$5000))-SUMPRODUCT(MIN(IF((Movimentações!$C$4:$C$5000=A51)*(Movimentações!$D$4:$D$5000="Saída")=1,Movimentações!$B$4:$B$5000)))+1),0))</f>
        <v>0</v>
      </c>
      <c r="N51" s="51" t="str">
        <f t="shared" si="10"/>
        <v>-</v>
      </c>
      <c r="O51" s="52">
        <f t="shared" si="11"/>
        <v>0</v>
      </c>
      <c r="P51" s="28" t="str">
        <f>IF(A51="","",IF(COUNTIF(Movimentações!$C$4:$C$5000,A51)=0,"Sem movim.",SUMPRODUCT(MAX((Movimentações!$C$4:$C$5000=A51)*Movimentações!$B$4:$B$5000))))</f>
        <v/>
      </c>
      <c r="Q51" s="53">
        <f t="shared" si="12"/>
        <v>999999</v>
      </c>
      <c r="R51" s="54">
        <f t="shared" si="13"/>
        <v>-5.1000000000000004E-4</v>
      </c>
    </row>
    <row r="52" spans="1:18" x14ac:dyDescent="0.25">
      <c r="A52" s="5" t="str">
        <f>IF('Cad. Materiais'!B52="","",'Cad. Materiais'!B52)</f>
        <v/>
      </c>
      <c r="B52" s="31" t="str">
        <f>IFERROR(VLOOKUP(A52,'Cad. Materiais'!$B$4:$D$53,3,FALSE),"")</f>
        <v/>
      </c>
      <c r="C52" s="12" t="str">
        <f>IFERROR(VLOOKUP(A52,'Cad. Materiais'!$B$4:$C$53,2,FALSE),"")</f>
        <v/>
      </c>
      <c r="D52" s="32">
        <f>IFERROR(VLOOKUP(A52,'Cad. Materiais'!$B$4:$E$53,4,FALSE),0)</f>
        <v>0</v>
      </c>
      <c r="E52" s="32">
        <f>IFERROR(VLOOKUP(A52,'Cad. Materiais'!$B$4:$F$53,5,FALSE),0)</f>
        <v>0</v>
      </c>
      <c r="F52" s="33">
        <f>IFERROR(VLOOKUP(A52,'Cad. Materiais'!$B$4:$G$53,6,FALSE),0)</f>
        <v>0</v>
      </c>
      <c r="G52" s="34">
        <f>IFERROR(VLOOKUP(A52,'Cad. Materiais'!$B$4:$H$53,7,FALSE),0)</f>
        <v>0</v>
      </c>
      <c r="H52" s="6">
        <f>IFERROR(SUMIFS(Movimentações!$E$4:$E$5000,Movimentações!$C$4:$C$5000,A52,Movimentações!$D$4:$D$5000,"Entrada"),0)</f>
        <v>0</v>
      </c>
      <c r="I52" s="7">
        <f>IFERROR(SUMIFS(Movimentações!$E$4:$E$5000,Movimentações!$C$4:$C$5000,A52,Movimentações!$D$4:$D$5000,"Saída"),0)</f>
        <v>0</v>
      </c>
      <c r="J52" s="35" t="str">
        <f t="shared" si="7"/>
        <v/>
      </c>
      <c r="K52" s="36" t="str">
        <f t="shared" si="8"/>
        <v/>
      </c>
      <c r="L52" s="37" t="str">
        <f t="shared" si="9"/>
        <v/>
      </c>
      <c r="M52" s="38">
        <f>IF(I52=0,0,IFERROR(I52/MAX(1,SUMPRODUCT(MAX((Movimentações!$C$4:$C$5000=A52)*(Movimentações!$D$4:$D$5000="Saída")*Movimentações!$B$4:$B$5000))-SUMPRODUCT(MIN(IF((Movimentações!$C$4:$C$5000=A52)*(Movimentações!$D$4:$D$5000="Saída")=1,Movimentações!$B$4:$B$5000)))+1),0))</f>
        <v>0</v>
      </c>
      <c r="N52" s="39" t="str">
        <f t="shared" si="10"/>
        <v>-</v>
      </c>
      <c r="O52" s="40">
        <f t="shared" si="11"/>
        <v>0</v>
      </c>
      <c r="P52" s="26" t="str">
        <f>IF(A52="","",IF(COUNTIF(Movimentações!$C$4:$C$5000,A52)=0,"Sem movim.",SUMPRODUCT(MAX((Movimentações!$C$4:$C$5000=A52)*Movimentações!$B$4:$B$5000))))</f>
        <v/>
      </c>
      <c r="Q52" s="41">
        <f t="shared" si="12"/>
        <v>999999</v>
      </c>
      <c r="R52" s="42">
        <f t="shared" si="13"/>
        <v>-5.1999999999999995E-4</v>
      </c>
    </row>
    <row r="53" spans="1:18" x14ac:dyDescent="0.25">
      <c r="A53" s="13" t="str">
        <f>IF('Cad. Materiais'!B53="","",'Cad. Materiais'!B53)</f>
        <v/>
      </c>
      <c r="B53" s="43" t="str">
        <f>IFERROR(VLOOKUP(A53,'Cad. Materiais'!$B$4:$D$53,3,FALSE),"")</f>
        <v/>
      </c>
      <c r="C53" s="20" t="str">
        <f>IFERROR(VLOOKUP(A53,'Cad. Materiais'!$B$4:$C$53,2,FALSE),"")</f>
        <v/>
      </c>
      <c r="D53" s="44">
        <f>IFERROR(VLOOKUP(A53,'Cad. Materiais'!$B$4:$E$53,4,FALSE),0)</f>
        <v>0</v>
      </c>
      <c r="E53" s="44">
        <f>IFERROR(VLOOKUP(A53,'Cad. Materiais'!$B$4:$F$53,5,FALSE),0)</f>
        <v>0</v>
      </c>
      <c r="F53" s="45">
        <f>IFERROR(VLOOKUP(A53,'Cad. Materiais'!$B$4:$G$53,6,FALSE),0)</f>
        <v>0</v>
      </c>
      <c r="G53" s="46">
        <f>IFERROR(VLOOKUP(A53,'Cad. Materiais'!$B$4:$H$53,7,FALSE),0)</f>
        <v>0</v>
      </c>
      <c r="H53" s="14">
        <f>IFERROR(SUMIFS(Movimentações!$E$4:$E$5000,Movimentações!$C$4:$C$5000,A53,Movimentações!$D$4:$D$5000,"Entrada"),0)</f>
        <v>0</v>
      </c>
      <c r="I53" s="15">
        <f>IFERROR(SUMIFS(Movimentações!$E$4:$E$5000,Movimentações!$C$4:$C$5000,A53,Movimentações!$D$4:$D$5000,"Saída"),0)</f>
        <v>0</v>
      </c>
      <c r="J53" s="47" t="str">
        <f t="shared" si="7"/>
        <v/>
      </c>
      <c r="K53" s="48" t="str">
        <f t="shared" si="8"/>
        <v/>
      </c>
      <c r="L53" s="49" t="str">
        <f t="shared" si="9"/>
        <v/>
      </c>
      <c r="M53" s="50">
        <f>IF(I53=0,0,IFERROR(I53/MAX(1,SUMPRODUCT(MAX((Movimentações!$C$4:$C$5000=A53)*(Movimentações!$D$4:$D$5000="Saída")*Movimentações!$B$4:$B$5000))-SUMPRODUCT(MIN(IF((Movimentações!$C$4:$C$5000=A53)*(Movimentações!$D$4:$D$5000="Saída")=1,Movimentações!$B$4:$B$5000)))+1),0))</f>
        <v>0</v>
      </c>
      <c r="N53" s="51" t="str">
        <f t="shared" si="10"/>
        <v>-</v>
      </c>
      <c r="O53" s="52">
        <f t="shared" si="11"/>
        <v>0</v>
      </c>
      <c r="P53" s="28" t="str">
        <f>IF(A53="","",IF(COUNTIF(Movimentações!$C$4:$C$5000,A53)=0,"Sem movim.",SUMPRODUCT(MAX((Movimentações!$C$4:$C$5000=A53)*Movimentações!$B$4:$B$5000))))</f>
        <v/>
      </c>
      <c r="Q53" s="53">
        <f t="shared" si="12"/>
        <v>999999</v>
      </c>
      <c r="R53" s="54">
        <f t="shared" si="13"/>
        <v>-5.2999999999999998E-4</v>
      </c>
    </row>
    <row r="54" spans="1:18" ht="27.95" customHeight="1" x14ac:dyDescent="0.25">
      <c r="A54" s="102" t="s">
        <v>73</v>
      </c>
      <c r="B54" s="92"/>
      <c r="C54" s="92"/>
      <c r="D54" s="92"/>
      <c r="E54" s="92"/>
      <c r="F54" s="92"/>
      <c r="G54" s="93"/>
      <c r="H54" s="22">
        <f>SUM(H4:H53)</f>
        <v>322</v>
      </c>
      <c r="I54" s="23">
        <f>SUM(I4:I53)</f>
        <v>290</v>
      </c>
      <c r="J54" s="24">
        <f>SUM(J4:J53)</f>
        <v>588</v>
      </c>
      <c r="K54" s="55">
        <f>SUM(K4:K53)</f>
        <v>1039.6999999999998</v>
      </c>
      <c r="L54" s="29"/>
      <c r="M54" s="29"/>
      <c r="N54" s="29"/>
      <c r="O54" s="29"/>
      <c r="P54" s="29"/>
    </row>
  </sheetData>
  <mergeCells count="3">
    <mergeCell ref="A1:P1"/>
    <mergeCell ref="A54:G54"/>
    <mergeCell ref="A2:P2"/>
  </mergeCells>
  <conditionalFormatting sqref="J4:J53">
    <cfRule type="dataBar" priority="5">
      <dataBar>
        <cfvo type="min"/>
        <cfvo type="max"/>
        <color rgb="FF2E75B6"/>
      </dataBar>
    </cfRule>
  </conditionalFormatting>
  <conditionalFormatting sqref="L4:L53">
    <cfRule type="expression" dxfId="5" priority="1" stopIfTrue="1">
      <formula>$L4="⚠ SEM ESTOQUE"</formula>
    </cfRule>
    <cfRule type="expression" dxfId="4" priority="2" stopIfTrue="1">
      <formula>$L4="⬇ ABAIXO DO MÍN."</formula>
    </cfRule>
    <cfRule type="expression" dxfId="3" priority="3" stopIfTrue="1">
      <formula>$L4="➡ ATENÇÃO"</formula>
    </cfRule>
    <cfRule type="expression" dxfId="2" priority="4" stopIfTrue="1">
      <formula>$L4="✔ NORMAL"</formula>
    </cfRule>
  </conditionalFormatting>
  <conditionalFormatting sqref="N4:N53">
    <cfRule type="colorScale" priority="6">
      <colorScale>
        <cfvo type="num" val="0"/>
        <cfvo type="num" val="30"/>
        <cfvo type="num" val="180"/>
        <color rgb="FFA02622"/>
        <color rgb="FFFFF2CC"/>
        <color rgb="FFD4EDD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2"/>
  <sheetViews>
    <sheetView showGridLines="0" workbookViewId="0">
      <pane ySplit="3" topLeftCell="A64" activePane="bottomLeft" state="frozen"/>
      <selection pane="bottomLeft" activeCell="E83" sqref="E83"/>
    </sheetView>
  </sheetViews>
  <sheetFormatPr defaultRowHeight="15" x14ac:dyDescent="0.25"/>
  <cols>
    <col min="1" max="1" width="6" customWidth="1"/>
    <col min="2" max="2" width="12" customWidth="1"/>
    <col min="3" max="3" width="22" customWidth="1"/>
    <col min="4" max="4" width="11" customWidth="1"/>
    <col min="5" max="5" width="12" customWidth="1"/>
    <col min="6" max="6" width="20" customWidth="1"/>
    <col min="7" max="7" width="16" customWidth="1"/>
    <col min="8" max="8" width="28" customWidth="1"/>
    <col min="9" max="9" width="18" customWidth="1"/>
  </cols>
  <sheetData>
    <row r="1" spans="1:9" ht="50.1" customHeight="1" x14ac:dyDescent="0.25">
      <c r="A1" s="116" t="s">
        <v>104</v>
      </c>
      <c r="B1" s="97"/>
      <c r="C1" s="97"/>
      <c r="D1" s="97"/>
      <c r="E1" s="97"/>
      <c r="F1" s="97"/>
      <c r="G1" s="97"/>
      <c r="H1" s="97"/>
      <c r="I1" s="97"/>
    </row>
    <row r="2" spans="1:9" ht="21.95" customHeight="1" x14ac:dyDescent="0.25">
      <c r="A2" s="117" t="s">
        <v>105</v>
      </c>
      <c r="B2" s="97"/>
      <c r="C2" s="97"/>
      <c r="D2" s="97"/>
      <c r="E2" s="97"/>
      <c r="F2" s="97"/>
      <c r="G2" s="97"/>
      <c r="H2" s="97"/>
      <c r="I2" s="97"/>
    </row>
    <row r="3" spans="1:9" ht="36" customHeight="1" x14ac:dyDescent="0.25">
      <c r="A3" s="30" t="s">
        <v>106</v>
      </c>
      <c r="B3" s="30" t="s">
        <v>107</v>
      </c>
      <c r="C3" s="30" t="s">
        <v>56</v>
      </c>
      <c r="D3" s="30" t="s">
        <v>108</v>
      </c>
      <c r="E3" s="30" t="s">
        <v>109</v>
      </c>
      <c r="F3" s="30" t="s">
        <v>75</v>
      </c>
      <c r="G3" s="30" t="s">
        <v>76</v>
      </c>
      <c r="H3" s="30" t="s">
        <v>110</v>
      </c>
      <c r="I3" s="30" t="s">
        <v>111</v>
      </c>
    </row>
    <row r="4" spans="1:9" x14ac:dyDescent="0.25">
      <c r="A4" s="56">
        <v>1</v>
      </c>
      <c r="B4" s="57">
        <v>46025</v>
      </c>
      <c r="C4" s="5" t="s">
        <v>112</v>
      </c>
      <c r="D4" s="58" t="s">
        <v>113</v>
      </c>
      <c r="E4" s="59">
        <v>1</v>
      </c>
      <c r="F4" s="60" t="s">
        <v>85</v>
      </c>
      <c r="G4" s="61" t="s">
        <v>114</v>
      </c>
      <c r="H4" s="62"/>
      <c r="I4" s="63" t="s">
        <v>86</v>
      </c>
    </row>
    <row r="5" spans="1:9" x14ac:dyDescent="0.25">
      <c r="A5" s="64">
        <v>2</v>
      </c>
      <c r="B5" s="65">
        <v>46025</v>
      </c>
      <c r="C5" s="13" t="s">
        <v>115</v>
      </c>
      <c r="D5" s="58" t="s">
        <v>113</v>
      </c>
      <c r="E5" s="66">
        <v>1</v>
      </c>
      <c r="F5" s="67" t="s">
        <v>81</v>
      </c>
      <c r="G5" s="68" t="s">
        <v>114</v>
      </c>
      <c r="H5" s="69"/>
      <c r="I5" s="70" t="s">
        <v>86</v>
      </c>
    </row>
    <row r="6" spans="1:9" x14ac:dyDescent="0.25">
      <c r="A6" s="56">
        <v>3</v>
      </c>
      <c r="B6" s="57">
        <v>46025</v>
      </c>
      <c r="C6" s="5" t="s">
        <v>116</v>
      </c>
      <c r="D6" s="58" t="s">
        <v>113</v>
      </c>
      <c r="E6" s="59">
        <v>1</v>
      </c>
      <c r="F6" s="60" t="s">
        <v>81</v>
      </c>
      <c r="G6" s="61" t="s">
        <v>114</v>
      </c>
      <c r="H6" s="62"/>
      <c r="I6" s="63" t="s">
        <v>86</v>
      </c>
    </row>
    <row r="7" spans="1:9" x14ac:dyDescent="0.25">
      <c r="A7" s="64">
        <v>4</v>
      </c>
      <c r="B7" s="65">
        <v>46025</v>
      </c>
      <c r="C7" s="13" t="s">
        <v>112</v>
      </c>
      <c r="D7" s="58" t="s">
        <v>113</v>
      </c>
      <c r="E7" s="66">
        <v>2</v>
      </c>
      <c r="F7" s="67" t="s">
        <v>81</v>
      </c>
      <c r="G7" s="68" t="s">
        <v>114</v>
      </c>
      <c r="H7" s="69"/>
      <c r="I7" s="70" t="s">
        <v>86</v>
      </c>
    </row>
    <row r="8" spans="1:9" x14ac:dyDescent="0.25">
      <c r="A8" s="56">
        <v>5</v>
      </c>
      <c r="B8" s="57">
        <v>46026</v>
      </c>
      <c r="C8" s="5" t="s">
        <v>112</v>
      </c>
      <c r="D8" s="58" t="s">
        <v>113</v>
      </c>
      <c r="E8" s="59">
        <v>3</v>
      </c>
      <c r="F8" s="60" t="s">
        <v>83</v>
      </c>
      <c r="G8" s="61" t="s">
        <v>114</v>
      </c>
      <c r="H8" s="62"/>
      <c r="I8" s="63" t="s">
        <v>86</v>
      </c>
    </row>
    <row r="9" spans="1:9" x14ac:dyDescent="0.25">
      <c r="A9" s="64">
        <v>6</v>
      </c>
      <c r="B9" s="65">
        <v>46026</v>
      </c>
      <c r="C9" s="13" t="s">
        <v>116</v>
      </c>
      <c r="D9" s="58" t="s">
        <v>113</v>
      </c>
      <c r="E9" s="66">
        <v>1</v>
      </c>
      <c r="F9" s="67" t="s">
        <v>84</v>
      </c>
      <c r="G9" s="68" t="s">
        <v>114</v>
      </c>
      <c r="H9" s="69"/>
      <c r="I9" s="70" t="s">
        <v>86</v>
      </c>
    </row>
    <row r="10" spans="1:9" x14ac:dyDescent="0.25">
      <c r="A10" s="56">
        <v>7</v>
      </c>
      <c r="B10" s="57">
        <v>46026</v>
      </c>
      <c r="C10" s="5" t="s">
        <v>112</v>
      </c>
      <c r="D10" s="58" t="s">
        <v>113</v>
      </c>
      <c r="E10" s="59">
        <v>1</v>
      </c>
      <c r="F10" s="60" t="s">
        <v>84</v>
      </c>
      <c r="G10" s="61" t="s">
        <v>114</v>
      </c>
      <c r="H10" s="62"/>
      <c r="I10" s="63" t="s">
        <v>86</v>
      </c>
    </row>
    <row r="11" spans="1:9" x14ac:dyDescent="0.25">
      <c r="A11" s="64">
        <v>8</v>
      </c>
      <c r="B11" s="65">
        <v>46027</v>
      </c>
      <c r="C11" s="13" t="s">
        <v>117</v>
      </c>
      <c r="D11" s="58" t="s">
        <v>113</v>
      </c>
      <c r="E11" s="66">
        <v>1</v>
      </c>
      <c r="F11" s="67" t="s">
        <v>90</v>
      </c>
      <c r="G11" s="68" t="s">
        <v>114</v>
      </c>
      <c r="H11" s="69"/>
      <c r="I11" s="70" t="s">
        <v>86</v>
      </c>
    </row>
    <row r="12" spans="1:9" x14ac:dyDescent="0.25">
      <c r="A12" s="56">
        <v>9</v>
      </c>
      <c r="B12" s="57">
        <v>46027</v>
      </c>
      <c r="C12" s="5" t="s">
        <v>118</v>
      </c>
      <c r="D12" s="58" t="s">
        <v>113</v>
      </c>
      <c r="E12" s="59">
        <v>1</v>
      </c>
      <c r="F12" s="60" t="s">
        <v>86</v>
      </c>
      <c r="G12" s="61" t="s">
        <v>114</v>
      </c>
      <c r="H12" s="62"/>
      <c r="I12" s="63" t="s">
        <v>86</v>
      </c>
    </row>
    <row r="13" spans="1:9" x14ac:dyDescent="0.25">
      <c r="A13" s="64">
        <v>10</v>
      </c>
      <c r="B13" s="65">
        <v>46027</v>
      </c>
      <c r="C13" s="13" t="s">
        <v>112</v>
      </c>
      <c r="D13" s="58" t="s">
        <v>113</v>
      </c>
      <c r="E13" s="66">
        <v>1</v>
      </c>
      <c r="F13" s="67" t="s">
        <v>86</v>
      </c>
      <c r="G13" s="68" t="s">
        <v>114</v>
      </c>
      <c r="H13" s="69"/>
      <c r="I13" s="70" t="s">
        <v>86</v>
      </c>
    </row>
    <row r="14" spans="1:9" x14ac:dyDescent="0.25">
      <c r="A14" s="56">
        <v>11</v>
      </c>
      <c r="B14" s="57">
        <v>46027</v>
      </c>
      <c r="C14" s="5" t="s">
        <v>112</v>
      </c>
      <c r="D14" s="58" t="s">
        <v>113</v>
      </c>
      <c r="E14" s="59">
        <v>1</v>
      </c>
      <c r="F14" s="60" t="s">
        <v>89</v>
      </c>
      <c r="G14" s="61" t="s">
        <v>114</v>
      </c>
      <c r="H14" s="62"/>
      <c r="I14" s="63" t="s">
        <v>86</v>
      </c>
    </row>
    <row r="15" spans="1:9" x14ac:dyDescent="0.25">
      <c r="A15" s="64">
        <v>12</v>
      </c>
      <c r="B15" s="65">
        <v>46027</v>
      </c>
      <c r="C15" s="13" t="s">
        <v>116</v>
      </c>
      <c r="D15" s="58" t="s">
        <v>113</v>
      </c>
      <c r="E15" s="66">
        <v>1</v>
      </c>
      <c r="F15" s="67" t="s">
        <v>87</v>
      </c>
      <c r="G15" s="68" t="s">
        <v>114</v>
      </c>
      <c r="H15" s="69"/>
      <c r="I15" s="70" t="s">
        <v>86</v>
      </c>
    </row>
    <row r="16" spans="1:9" x14ac:dyDescent="0.25">
      <c r="A16" s="56">
        <v>13</v>
      </c>
      <c r="B16" s="57">
        <v>46027</v>
      </c>
      <c r="C16" s="5" t="s">
        <v>112</v>
      </c>
      <c r="D16" s="58" t="s">
        <v>113</v>
      </c>
      <c r="E16" s="59">
        <v>4</v>
      </c>
      <c r="F16" s="60" t="s">
        <v>91</v>
      </c>
      <c r="G16" s="61" t="s">
        <v>114</v>
      </c>
      <c r="H16" s="62"/>
      <c r="I16" s="63" t="s">
        <v>86</v>
      </c>
    </row>
    <row r="17" spans="1:9" x14ac:dyDescent="0.25">
      <c r="A17" s="64">
        <v>14</v>
      </c>
      <c r="B17" s="65">
        <v>46027</v>
      </c>
      <c r="C17" s="13" t="s">
        <v>119</v>
      </c>
      <c r="D17" s="58" t="s">
        <v>113</v>
      </c>
      <c r="E17" s="66">
        <v>1</v>
      </c>
      <c r="F17" s="67" t="s">
        <v>91</v>
      </c>
      <c r="G17" s="68" t="s">
        <v>114</v>
      </c>
      <c r="H17" s="69"/>
      <c r="I17" s="70" t="s">
        <v>86</v>
      </c>
    </row>
    <row r="18" spans="1:9" x14ac:dyDescent="0.25">
      <c r="A18" s="56">
        <v>15</v>
      </c>
      <c r="B18" s="57">
        <v>46032</v>
      </c>
      <c r="C18" s="5" t="s">
        <v>117</v>
      </c>
      <c r="D18" s="58" t="s">
        <v>113</v>
      </c>
      <c r="E18" s="59">
        <v>50</v>
      </c>
      <c r="F18" s="60" t="s">
        <v>82</v>
      </c>
      <c r="G18" s="61" t="s">
        <v>114</v>
      </c>
      <c r="H18" s="62" t="s">
        <v>120</v>
      </c>
      <c r="I18" s="63" t="s">
        <v>86</v>
      </c>
    </row>
    <row r="19" spans="1:9" x14ac:dyDescent="0.25">
      <c r="A19" s="64">
        <v>16</v>
      </c>
      <c r="B19" s="65">
        <v>46032</v>
      </c>
      <c r="C19" s="13" t="s">
        <v>112</v>
      </c>
      <c r="D19" s="58" t="s">
        <v>113</v>
      </c>
      <c r="E19" s="66">
        <v>2</v>
      </c>
      <c r="F19" s="67" t="s">
        <v>82</v>
      </c>
      <c r="G19" s="68" t="s">
        <v>114</v>
      </c>
      <c r="H19" s="69"/>
      <c r="I19" s="70" t="s">
        <v>86</v>
      </c>
    </row>
    <row r="20" spans="1:9" x14ac:dyDescent="0.25">
      <c r="A20" s="56">
        <v>17</v>
      </c>
      <c r="B20" s="57">
        <v>46032</v>
      </c>
      <c r="C20" s="5" t="s">
        <v>112</v>
      </c>
      <c r="D20" s="71" t="s">
        <v>121</v>
      </c>
      <c r="E20" s="59">
        <v>16</v>
      </c>
      <c r="F20" s="60" t="s">
        <v>86</v>
      </c>
      <c r="G20" s="61" t="s">
        <v>122</v>
      </c>
      <c r="H20" s="62" t="s">
        <v>123</v>
      </c>
      <c r="I20" s="63" t="s">
        <v>86</v>
      </c>
    </row>
    <row r="21" spans="1:9" x14ac:dyDescent="0.25">
      <c r="A21" s="64">
        <v>18</v>
      </c>
      <c r="B21" s="65">
        <v>46054</v>
      </c>
      <c r="C21" s="13" t="s">
        <v>119</v>
      </c>
      <c r="D21" s="58" t="s">
        <v>113</v>
      </c>
      <c r="E21" s="66">
        <v>1</v>
      </c>
      <c r="F21" s="67" t="s">
        <v>88</v>
      </c>
      <c r="G21" s="68" t="s">
        <v>124</v>
      </c>
      <c r="H21" s="69"/>
      <c r="I21" s="70" t="s">
        <v>86</v>
      </c>
    </row>
    <row r="22" spans="1:9" x14ac:dyDescent="0.25">
      <c r="A22" s="56">
        <v>19</v>
      </c>
      <c r="B22" s="57">
        <v>46054</v>
      </c>
      <c r="C22" s="5" t="s">
        <v>119</v>
      </c>
      <c r="D22" s="58" t="s">
        <v>113</v>
      </c>
      <c r="E22" s="59">
        <v>1</v>
      </c>
      <c r="F22" s="60" t="s">
        <v>82</v>
      </c>
      <c r="G22" s="61" t="s">
        <v>114</v>
      </c>
      <c r="H22" s="62"/>
      <c r="I22" s="63" t="s">
        <v>86</v>
      </c>
    </row>
    <row r="23" spans="1:9" x14ac:dyDescent="0.25">
      <c r="A23" s="64">
        <v>20</v>
      </c>
      <c r="B23" s="65">
        <v>46055</v>
      </c>
      <c r="C23" s="13" t="s">
        <v>112</v>
      </c>
      <c r="D23" s="58" t="s">
        <v>113</v>
      </c>
      <c r="E23" s="66">
        <v>1</v>
      </c>
      <c r="F23" s="67" t="s">
        <v>82</v>
      </c>
      <c r="G23" s="68" t="s">
        <v>114</v>
      </c>
      <c r="H23" s="69"/>
      <c r="I23" s="70" t="s">
        <v>86</v>
      </c>
    </row>
    <row r="24" spans="1:9" x14ac:dyDescent="0.25">
      <c r="A24" s="56">
        <v>21</v>
      </c>
      <c r="B24" s="57">
        <v>46055</v>
      </c>
      <c r="C24" s="5" t="s">
        <v>112</v>
      </c>
      <c r="D24" s="58" t="s">
        <v>113</v>
      </c>
      <c r="E24" s="59">
        <v>1</v>
      </c>
      <c r="F24" s="60" t="s">
        <v>82</v>
      </c>
      <c r="G24" s="61" t="s">
        <v>114</v>
      </c>
      <c r="H24" s="62"/>
      <c r="I24" s="63" t="s">
        <v>86</v>
      </c>
    </row>
    <row r="25" spans="1:9" x14ac:dyDescent="0.25">
      <c r="A25" s="64">
        <v>22</v>
      </c>
      <c r="B25" s="65">
        <v>46056</v>
      </c>
      <c r="C25" s="13" t="s">
        <v>119</v>
      </c>
      <c r="D25" s="58" t="s">
        <v>113</v>
      </c>
      <c r="E25" s="66">
        <v>2</v>
      </c>
      <c r="F25" s="67" t="s">
        <v>84</v>
      </c>
      <c r="G25" s="68" t="s">
        <v>114</v>
      </c>
      <c r="H25" s="69"/>
      <c r="I25" s="70" t="s">
        <v>86</v>
      </c>
    </row>
    <row r="26" spans="1:9" x14ac:dyDescent="0.25">
      <c r="A26" s="56">
        <v>23</v>
      </c>
      <c r="B26" s="57">
        <v>46056</v>
      </c>
      <c r="C26" s="5" t="s">
        <v>119</v>
      </c>
      <c r="D26" s="71" t="s">
        <v>121</v>
      </c>
      <c r="E26" s="59">
        <v>100</v>
      </c>
      <c r="F26" s="60" t="s">
        <v>86</v>
      </c>
      <c r="G26" s="61" t="s">
        <v>122</v>
      </c>
      <c r="H26" s="62" t="s">
        <v>125</v>
      </c>
      <c r="I26" s="63" t="s">
        <v>86</v>
      </c>
    </row>
    <row r="27" spans="1:9" x14ac:dyDescent="0.25">
      <c r="A27" s="64">
        <v>24</v>
      </c>
      <c r="B27" s="65">
        <v>46057</v>
      </c>
      <c r="C27" s="13" t="s">
        <v>126</v>
      </c>
      <c r="D27" s="71" t="s">
        <v>121</v>
      </c>
      <c r="E27" s="66">
        <v>3</v>
      </c>
      <c r="F27" s="67" t="s">
        <v>86</v>
      </c>
      <c r="G27" s="68" t="s">
        <v>122</v>
      </c>
      <c r="H27" s="69" t="s">
        <v>127</v>
      </c>
      <c r="I27" s="70" t="s">
        <v>86</v>
      </c>
    </row>
    <row r="28" spans="1:9" x14ac:dyDescent="0.25">
      <c r="A28" s="56">
        <v>25</v>
      </c>
      <c r="B28" s="57">
        <v>46057</v>
      </c>
      <c r="C28" s="5" t="s">
        <v>112</v>
      </c>
      <c r="D28" s="71" t="s">
        <v>121</v>
      </c>
      <c r="E28" s="59">
        <v>10</v>
      </c>
      <c r="F28" s="60" t="s">
        <v>86</v>
      </c>
      <c r="G28" s="61" t="s">
        <v>122</v>
      </c>
      <c r="H28" s="62" t="s">
        <v>125</v>
      </c>
      <c r="I28" s="63" t="s">
        <v>86</v>
      </c>
    </row>
    <row r="29" spans="1:9" x14ac:dyDescent="0.25">
      <c r="A29" s="64">
        <v>26</v>
      </c>
      <c r="B29" s="65">
        <v>46057</v>
      </c>
      <c r="C29" s="13" t="s">
        <v>119</v>
      </c>
      <c r="D29" s="71" t="s">
        <v>121</v>
      </c>
      <c r="E29" s="66">
        <v>100</v>
      </c>
      <c r="F29" s="67" t="s">
        <v>86</v>
      </c>
      <c r="G29" s="68" t="s">
        <v>122</v>
      </c>
      <c r="H29" s="69" t="s">
        <v>125</v>
      </c>
      <c r="I29" s="70" t="s">
        <v>86</v>
      </c>
    </row>
    <row r="30" spans="1:9" x14ac:dyDescent="0.25">
      <c r="A30" s="56">
        <v>27</v>
      </c>
      <c r="B30" s="57">
        <v>46064</v>
      </c>
      <c r="C30" s="5" t="s">
        <v>119</v>
      </c>
      <c r="D30" s="58" t="s">
        <v>113</v>
      </c>
      <c r="E30" s="59">
        <v>1</v>
      </c>
      <c r="F30" s="60" t="s">
        <v>86</v>
      </c>
      <c r="G30" s="61" t="s">
        <v>114</v>
      </c>
      <c r="H30" s="62"/>
      <c r="I30" s="63" t="s">
        <v>86</v>
      </c>
    </row>
    <row r="31" spans="1:9" x14ac:dyDescent="0.25">
      <c r="A31" s="64">
        <v>28</v>
      </c>
      <c r="B31" s="65">
        <v>46064</v>
      </c>
      <c r="C31" s="13" t="s">
        <v>112</v>
      </c>
      <c r="D31" s="58" t="s">
        <v>113</v>
      </c>
      <c r="E31" s="66">
        <v>1</v>
      </c>
      <c r="F31" s="67" t="s">
        <v>86</v>
      </c>
      <c r="G31" s="68" t="s">
        <v>114</v>
      </c>
      <c r="H31" s="69"/>
      <c r="I31" s="70" t="s">
        <v>86</v>
      </c>
    </row>
    <row r="32" spans="1:9" x14ac:dyDescent="0.25">
      <c r="A32" s="56">
        <v>29</v>
      </c>
      <c r="B32" s="57">
        <v>46064</v>
      </c>
      <c r="C32" s="5" t="s">
        <v>112</v>
      </c>
      <c r="D32" s="58" t="s">
        <v>113</v>
      </c>
      <c r="E32" s="59">
        <v>1</v>
      </c>
      <c r="F32" s="60" t="s">
        <v>91</v>
      </c>
      <c r="G32" s="61" t="s">
        <v>114</v>
      </c>
      <c r="H32" s="62"/>
      <c r="I32" s="63" t="s">
        <v>86</v>
      </c>
    </row>
    <row r="33" spans="1:9" x14ac:dyDescent="0.25">
      <c r="A33" s="64">
        <v>30</v>
      </c>
      <c r="B33" s="65">
        <v>46067</v>
      </c>
      <c r="C33" s="13" t="s">
        <v>112</v>
      </c>
      <c r="D33" s="58" t="s">
        <v>113</v>
      </c>
      <c r="E33" s="66">
        <v>1</v>
      </c>
      <c r="F33" s="67" t="s">
        <v>81</v>
      </c>
      <c r="G33" s="68" t="s">
        <v>114</v>
      </c>
      <c r="H33" s="69"/>
      <c r="I33" s="70" t="s">
        <v>86</v>
      </c>
    </row>
    <row r="34" spans="1:9" x14ac:dyDescent="0.25">
      <c r="A34" s="56">
        <v>31</v>
      </c>
      <c r="B34" s="57">
        <v>46067</v>
      </c>
      <c r="C34" s="5" t="s">
        <v>112</v>
      </c>
      <c r="D34" s="58" t="s">
        <v>113</v>
      </c>
      <c r="E34" s="59">
        <v>1</v>
      </c>
      <c r="F34" s="60" t="s">
        <v>91</v>
      </c>
      <c r="G34" s="61" t="s">
        <v>114</v>
      </c>
      <c r="H34" s="62"/>
      <c r="I34" s="63" t="s">
        <v>86</v>
      </c>
    </row>
    <row r="35" spans="1:9" x14ac:dyDescent="0.25">
      <c r="A35" s="64">
        <v>32</v>
      </c>
      <c r="B35" s="65">
        <v>46068</v>
      </c>
      <c r="C35" s="13" t="s">
        <v>117</v>
      </c>
      <c r="D35" s="58" t="s">
        <v>113</v>
      </c>
      <c r="E35" s="66">
        <v>44</v>
      </c>
      <c r="F35" s="67" t="s">
        <v>85</v>
      </c>
      <c r="G35" s="68" t="s">
        <v>114</v>
      </c>
      <c r="H35" s="69"/>
      <c r="I35" s="70" t="s">
        <v>86</v>
      </c>
    </row>
    <row r="36" spans="1:9" x14ac:dyDescent="0.25">
      <c r="A36" s="56">
        <v>33</v>
      </c>
      <c r="B36" s="57">
        <v>46070</v>
      </c>
      <c r="C36" s="5" t="s">
        <v>117</v>
      </c>
      <c r="D36" s="58" t="s">
        <v>113</v>
      </c>
      <c r="E36" s="59">
        <v>36</v>
      </c>
      <c r="F36" s="60" t="s">
        <v>81</v>
      </c>
      <c r="G36" s="61" t="s">
        <v>114</v>
      </c>
      <c r="H36" s="62"/>
      <c r="I36" s="63" t="s">
        <v>86</v>
      </c>
    </row>
    <row r="37" spans="1:9" x14ac:dyDescent="0.25">
      <c r="A37" s="64">
        <v>34</v>
      </c>
      <c r="B37" s="65">
        <v>46071</v>
      </c>
      <c r="C37" s="13" t="s">
        <v>119</v>
      </c>
      <c r="D37" s="58" t="s">
        <v>113</v>
      </c>
      <c r="E37" s="66">
        <v>1</v>
      </c>
      <c r="F37" s="67" t="s">
        <v>82</v>
      </c>
      <c r="G37" s="68" t="s">
        <v>114</v>
      </c>
      <c r="H37" s="69"/>
      <c r="I37" s="70" t="s">
        <v>86</v>
      </c>
    </row>
    <row r="38" spans="1:9" x14ac:dyDescent="0.25">
      <c r="A38" s="56">
        <v>35</v>
      </c>
      <c r="B38" s="57">
        <v>46072</v>
      </c>
      <c r="C38" s="5" t="s">
        <v>112</v>
      </c>
      <c r="D38" s="58" t="s">
        <v>113</v>
      </c>
      <c r="E38" s="59">
        <v>1</v>
      </c>
      <c r="F38" s="60" t="s">
        <v>80</v>
      </c>
      <c r="G38" s="61" t="s">
        <v>114</v>
      </c>
      <c r="H38" s="62"/>
      <c r="I38" s="63" t="s">
        <v>86</v>
      </c>
    </row>
    <row r="39" spans="1:9" x14ac:dyDescent="0.25">
      <c r="A39" s="64">
        <v>36</v>
      </c>
      <c r="B39" s="65">
        <v>46082</v>
      </c>
      <c r="C39" s="13" t="s">
        <v>112</v>
      </c>
      <c r="D39" s="58" t="s">
        <v>113</v>
      </c>
      <c r="E39" s="66">
        <v>1</v>
      </c>
      <c r="F39" s="67" t="s">
        <v>89</v>
      </c>
      <c r="G39" s="68" t="s">
        <v>114</v>
      </c>
      <c r="H39" s="69"/>
      <c r="I39" s="70" t="s">
        <v>86</v>
      </c>
    </row>
    <row r="40" spans="1:9" x14ac:dyDescent="0.25">
      <c r="A40" s="56">
        <v>37</v>
      </c>
      <c r="B40" s="57">
        <v>46082</v>
      </c>
      <c r="C40" s="5" t="s">
        <v>117</v>
      </c>
      <c r="D40" s="58" t="s">
        <v>113</v>
      </c>
      <c r="E40" s="59">
        <v>1</v>
      </c>
      <c r="F40" s="60" t="s">
        <v>84</v>
      </c>
      <c r="G40" s="61" t="s">
        <v>114</v>
      </c>
      <c r="H40" s="62"/>
      <c r="I40" s="63" t="s">
        <v>86</v>
      </c>
    </row>
    <row r="41" spans="1:9" x14ac:dyDescent="0.25">
      <c r="A41" s="64">
        <v>38</v>
      </c>
      <c r="B41" s="65">
        <v>46082</v>
      </c>
      <c r="C41" s="13" t="s">
        <v>128</v>
      </c>
      <c r="D41" s="71" t="s">
        <v>121</v>
      </c>
      <c r="E41" s="66">
        <v>15</v>
      </c>
      <c r="F41" s="67" t="s">
        <v>86</v>
      </c>
      <c r="G41" s="68" t="s">
        <v>122</v>
      </c>
      <c r="H41" s="69" t="s">
        <v>127</v>
      </c>
      <c r="I41" s="70" t="s">
        <v>86</v>
      </c>
    </row>
    <row r="42" spans="1:9" x14ac:dyDescent="0.25">
      <c r="A42" s="56">
        <v>39</v>
      </c>
      <c r="B42" s="57">
        <v>46082</v>
      </c>
      <c r="C42" s="5" t="s">
        <v>128</v>
      </c>
      <c r="D42" s="58" t="s">
        <v>113</v>
      </c>
      <c r="E42" s="59">
        <v>1</v>
      </c>
      <c r="F42" s="60" t="s">
        <v>89</v>
      </c>
      <c r="G42" s="61" t="s">
        <v>114</v>
      </c>
      <c r="H42" s="62"/>
      <c r="I42" s="63" t="s">
        <v>86</v>
      </c>
    </row>
    <row r="43" spans="1:9" x14ac:dyDescent="0.25">
      <c r="A43" s="64">
        <v>40</v>
      </c>
      <c r="B43" s="65">
        <v>46083</v>
      </c>
      <c r="C43" s="13" t="s">
        <v>112</v>
      </c>
      <c r="D43" s="58" t="s">
        <v>113</v>
      </c>
      <c r="E43" s="66">
        <v>1</v>
      </c>
      <c r="F43" s="67" t="s">
        <v>82</v>
      </c>
      <c r="G43" s="68" t="s">
        <v>114</v>
      </c>
      <c r="H43" s="69"/>
      <c r="I43" s="70" t="s">
        <v>86</v>
      </c>
    </row>
    <row r="44" spans="1:9" x14ac:dyDescent="0.25">
      <c r="A44" s="56">
        <v>41</v>
      </c>
      <c r="B44" s="57">
        <v>46083</v>
      </c>
      <c r="C44" s="5" t="s">
        <v>129</v>
      </c>
      <c r="D44" s="71" t="s">
        <v>121</v>
      </c>
      <c r="E44" s="59">
        <v>3</v>
      </c>
      <c r="F44" s="60" t="s">
        <v>86</v>
      </c>
      <c r="G44" s="61" t="s">
        <v>122</v>
      </c>
      <c r="H44" s="62" t="s">
        <v>127</v>
      </c>
      <c r="I44" s="63" t="s">
        <v>86</v>
      </c>
    </row>
    <row r="45" spans="1:9" x14ac:dyDescent="0.25">
      <c r="A45" s="64">
        <v>42</v>
      </c>
      <c r="B45" s="65">
        <v>46083</v>
      </c>
      <c r="C45" s="13" t="s">
        <v>129</v>
      </c>
      <c r="D45" s="58" t="s">
        <v>113</v>
      </c>
      <c r="E45" s="66">
        <v>1</v>
      </c>
      <c r="F45" s="67" t="s">
        <v>86</v>
      </c>
      <c r="G45" s="68" t="s">
        <v>124</v>
      </c>
      <c r="H45" s="69"/>
      <c r="I45" s="70" t="s">
        <v>86</v>
      </c>
    </row>
    <row r="46" spans="1:9" x14ac:dyDescent="0.25">
      <c r="A46" s="56">
        <v>43</v>
      </c>
      <c r="B46" s="57">
        <v>46084</v>
      </c>
      <c r="C46" s="5" t="s">
        <v>118</v>
      </c>
      <c r="D46" s="58" t="s">
        <v>113</v>
      </c>
      <c r="E46" s="59">
        <v>2</v>
      </c>
      <c r="F46" s="60" t="s">
        <v>82</v>
      </c>
      <c r="G46" s="61" t="s">
        <v>114</v>
      </c>
      <c r="H46" s="62"/>
      <c r="I46" s="63" t="s">
        <v>86</v>
      </c>
    </row>
    <row r="47" spans="1:9" x14ac:dyDescent="0.25">
      <c r="A47" s="64">
        <v>44</v>
      </c>
      <c r="B47" s="65">
        <v>46084</v>
      </c>
      <c r="C47" s="13" t="s">
        <v>112</v>
      </c>
      <c r="D47" s="71" t="s">
        <v>121</v>
      </c>
      <c r="E47" s="66">
        <v>10</v>
      </c>
      <c r="F47" s="67" t="s">
        <v>86</v>
      </c>
      <c r="G47" s="68" t="s">
        <v>122</v>
      </c>
      <c r="H47" s="69" t="s">
        <v>125</v>
      </c>
      <c r="I47" s="70" t="s">
        <v>86</v>
      </c>
    </row>
    <row r="48" spans="1:9" x14ac:dyDescent="0.25">
      <c r="A48" s="56">
        <v>45</v>
      </c>
      <c r="B48" s="57">
        <v>46084</v>
      </c>
      <c r="C48" s="5" t="s">
        <v>116</v>
      </c>
      <c r="D48" s="71" t="s">
        <v>121</v>
      </c>
      <c r="E48" s="59">
        <v>50</v>
      </c>
      <c r="F48" s="60" t="s">
        <v>86</v>
      </c>
      <c r="G48" s="61" t="s">
        <v>122</v>
      </c>
      <c r="H48" s="62" t="s">
        <v>125</v>
      </c>
      <c r="I48" s="63" t="s">
        <v>86</v>
      </c>
    </row>
    <row r="49" spans="1:9" x14ac:dyDescent="0.25">
      <c r="A49" s="64">
        <v>46</v>
      </c>
      <c r="B49" s="65">
        <v>46084</v>
      </c>
      <c r="C49" s="13" t="s">
        <v>119</v>
      </c>
      <c r="D49" s="58" t="s">
        <v>113</v>
      </c>
      <c r="E49" s="66">
        <v>1</v>
      </c>
      <c r="F49" s="67" t="s">
        <v>87</v>
      </c>
      <c r="G49" s="68" t="s">
        <v>114</v>
      </c>
      <c r="H49" s="69"/>
      <c r="I49" s="70" t="s">
        <v>86</v>
      </c>
    </row>
    <row r="50" spans="1:9" x14ac:dyDescent="0.25">
      <c r="A50" s="56">
        <v>47</v>
      </c>
      <c r="B50" s="57">
        <v>46091</v>
      </c>
      <c r="C50" s="5" t="s">
        <v>112</v>
      </c>
      <c r="D50" s="58" t="s">
        <v>113</v>
      </c>
      <c r="E50" s="59">
        <v>1</v>
      </c>
      <c r="F50" s="60" t="s">
        <v>91</v>
      </c>
      <c r="G50" s="61" t="s">
        <v>114</v>
      </c>
      <c r="H50" s="62"/>
      <c r="I50" s="63" t="s">
        <v>86</v>
      </c>
    </row>
    <row r="51" spans="1:9" x14ac:dyDescent="0.25">
      <c r="A51" s="64">
        <v>48</v>
      </c>
      <c r="B51" s="65">
        <v>46091</v>
      </c>
      <c r="C51" s="13" t="s">
        <v>112</v>
      </c>
      <c r="D51" s="58" t="s">
        <v>113</v>
      </c>
      <c r="E51" s="66">
        <v>1</v>
      </c>
      <c r="F51" s="67" t="s">
        <v>82</v>
      </c>
      <c r="G51" s="68" t="s">
        <v>114</v>
      </c>
      <c r="H51" s="69"/>
      <c r="I51" s="70" t="s">
        <v>86</v>
      </c>
    </row>
    <row r="52" spans="1:9" x14ac:dyDescent="0.25">
      <c r="A52" s="56">
        <v>49</v>
      </c>
      <c r="B52" s="57">
        <v>46092</v>
      </c>
      <c r="C52" s="5" t="s">
        <v>130</v>
      </c>
      <c r="D52" s="58" t="s">
        <v>113</v>
      </c>
      <c r="E52" s="59">
        <v>1</v>
      </c>
      <c r="F52" s="60" t="s">
        <v>81</v>
      </c>
      <c r="G52" s="61" t="s">
        <v>114</v>
      </c>
      <c r="H52" s="62"/>
      <c r="I52" s="63" t="s">
        <v>86</v>
      </c>
    </row>
    <row r="53" spans="1:9" x14ac:dyDescent="0.25">
      <c r="A53" s="64">
        <v>50</v>
      </c>
      <c r="B53" s="65">
        <v>46097</v>
      </c>
      <c r="C53" s="13" t="s">
        <v>112</v>
      </c>
      <c r="D53" s="58" t="s">
        <v>113</v>
      </c>
      <c r="E53" s="66">
        <v>1</v>
      </c>
      <c r="F53" s="67" t="s">
        <v>84</v>
      </c>
      <c r="G53" s="68" t="s">
        <v>114</v>
      </c>
      <c r="H53" s="69"/>
      <c r="I53" s="70" t="s">
        <v>86</v>
      </c>
    </row>
    <row r="54" spans="1:9" x14ac:dyDescent="0.25">
      <c r="A54" s="56">
        <v>51</v>
      </c>
      <c r="B54" s="57">
        <v>46098</v>
      </c>
      <c r="C54" s="5" t="s">
        <v>112</v>
      </c>
      <c r="D54" s="58" t="s">
        <v>113</v>
      </c>
      <c r="E54" s="59">
        <v>1</v>
      </c>
      <c r="F54" s="60" t="s">
        <v>91</v>
      </c>
      <c r="G54" s="61" t="s">
        <v>114</v>
      </c>
      <c r="H54" s="62"/>
      <c r="I54" s="63" t="s">
        <v>86</v>
      </c>
    </row>
    <row r="55" spans="1:9" x14ac:dyDescent="0.25">
      <c r="A55" s="64">
        <v>52</v>
      </c>
      <c r="B55" s="65">
        <v>46099</v>
      </c>
      <c r="C55" s="13" t="s">
        <v>119</v>
      </c>
      <c r="D55" s="58" t="s">
        <v>113</v>
      </c>
      <c r="E55" s="66">
        <v>1</v>
      </c>
      <c r="F55" s="67" t="s">
        <v>79</v>
      </c>
      <c r="G55" s="68" t="s">
        <v>114</v>
      </c>
      <c r="H55" s="69"/>
      <c r="I55" s="70" t="s">
        <v>86</v>
      </c>
    </row>
    <row r="56" spans="1:9" x14ac:dyDescent="0.25">
      <c r="A56" s="56">
        <v>53</v>
      </c>
      <c r="B56" s="57">
        <v>46104</v>
      </c>
      <c r="C56" s="5" t="s">
        <v>112</v>
      </c>
      <c r="D56" s="58" t="s">
        <v>113</v>
      </c>
      <c r="E56" s="59">
        <v>1</v>
      </c>
      <c r="F56" s="60" t="s">
        <v>89</v>
      </c>
      <c r="G56" s="61" t="s">
        <v>114</v>
      </c>
      <c r="H56" s="62"/>
      <c r="I56" s="63" t="s">
        <v>86</v>
      </c>
    </row>
    <row r="57" spans="1:9" x14ac:dyDescent="0.25">
      <c r="A57" s="64">
        <v>54</v>
      </c>
      <c r="B57" s="65">
        <v>46105</v>
      </c>
      <c r="C57" s="13" t="s">
        <v>112</v>
      </c>
      <c r="D57" s="58" t="s">
        <v>113</v>
      </c>
      <c r="E57" s="66">
        <v>1</v>
      </c>
      <c r="F57" s="67" t="s">
        <v>89</v>
      </c>
      <c r="G57" s="68" t="s">
        <v>114</v>
      </c>
      <c r="H57" s="69"/>
      <c r="I57" s="70" t="s">
        <v>86</v>
      </c>
    </row>
    <row r="58" spans="1:9" x14ac:dyDescent="0.25">
      <c r="A58" s="56">
        <v>55</v>
      </c>
      <c r="B58" s="57">
        <v>46105</v>
      </c>
      <c r="C58" s="5" t="s">
        <v>117</v>
      </c>
      <c r="D58" s="58" t="s">
        <v>113</v>
      </c>
      <c r="E58" s="59">
        <v>60</v>
      </c>
      <c r="F58" s="60" t="s">
        <v>85</v>
      </c>
      <c r="G58" s="61" t="s">
        <v>114</v>
      </c>
      <c r="H58" s="62"/>
      <c r="I58" s="63" t="s">
        <v>86</v>
      </c>
    </row>
    <row r="59" spans="1:9" x14ac:dyDescent="0.25">
      <c r="A59" s="64">
        <v>56</v>
      </c>
      <c r="B59" s="65">
        <v>46111</v>
      </c>
      <c r="C59" s="13" t="s">
        <v>117</v>
      </c>
      <c r="D59" s="58" t="s">
        <v>113</v>
      </c>
      <c r="E59" s="66">
        <v>6</v>
      </c>
      <c r="F59" s="67" t="s">
        <v>84</v>
      </c>
      <c r="G59" s="68" t="s">
        <v>114</v>
      </c>
      <c r="H59" s="69"/>
      <c r="I59" s="70" t="s">
        <v>86</v>
      </c>
    </row>
    <row r="60" spans="1:9" x14ac:dyDescent="0.25">
      <c r="A60" s="56">
        <v>57</v>
      </c>
      <c r="B60" s="57">
        <v>46113</v>
      </c>
      <c r="C60" s="5" t="s">
        <v>112</v>
      </c>
      <c r="D60" s="58" t="s">
        <v>113</v>
      </c>
      <c r="E60" s="59">
        <v>1</v>
      </c>
      <c r="F60" s="60" t="s">
        <v>84</v>
      </c>
      <c r="G60" s="61" t="s">
        <v>114</v>
      </c>
      <c r="H60" s="62"/>
      <c r="I60" s="63" t="s">
        <v>86</v>
      </c>
    </row>
    <row r="61" spans="1:9" x14ac:dyDescent="0.25">
      <c r="A61" s="64">
        <v>58</v>
      </c>
      <c r="B61" s="65">
        <v>46113</v>
      </c>
      <c r="C61" s="13" t="s">
        <v>130</v>
      </c>
      <c r="D61" s="58" t="s">
        <v>113</v>
      </c>
      <c r="E61" s="66">
        <v>1</v>
      </c>
      <c r="F61" s="67" t="s">
        <v>82</v>
      </c>
      <c r="G61" s="68" t="s">
        <v>114</v>
      </c>
      <c r="H61" s="69"/>
      <c r="I61" s="70" t="s">
        <v>86</v>
      </c>
    </row>
    <row r="62" spans="1:9" x14ac:dyDescent="0.25">
      <c r="A62" s="56">
        <v>59</v>
      </c>
      <c r="B62" s="57">
        <v>46114</v>
      </c>
      <c r="C62" s="5" t="s">
        <v>119</v>
      </c>
      <c r="D62" s="58" t="s">
        <v>113</v>
      </c>
      <c r="E62" s="59">
        <v>1</v>
      </c>
      <c r="F62" s="60" t="s">
        <v>80</v>
      </c>
      <c r="G62" s="61" t="s">
        <v>114</v>
      </c>
      <c r="H62" s="62"/>
      <c r="I62" s="63" t="s">
        <v>86</v>
      </c>
    </row>
    <row r="63" spans="1:9" x14ac:dyDescent="0.25">
      <c r="A63" s="64">
        <v>60</v>
      </c>
      <c r="B63" s="65">
        <v>46114</v>
      </c>
      <c r="C63" s="13" t="s">
        <v>119</v>
      </c>
      <c r="D63" s="58" t="s">
        <v>113</v>
      </c>
      <c r="E63" s="66">
        <v>3</v>
      </c>
      <c r="F63" s="67" t="s">
        <v>84</v>
      </c>
      <c r="G63" s="68" t="s">
        <v>114</v>
      </c>
      <c r="H63" s="69"/>
      <c r="I63" s="70" t="s">
        <v>86</v>
      </c>
    </row>
    <row r="64" spans="1:9" x14ac:dyDescent="0.25">
      <c r="A64" s="56">
        <v>61</v>
      </c>
      <c r="B64" s="57">
        <v>46118</v>
      </c>
      <c r="C64" s="5" t="s">
        <v>112</v>
      </c>
      <c r="D64" s="58" t="s">
        <v>113</v>
      </c>
      <c r="E64" s="59">
        <v>1</v>
      </c>
      <c r="F64" s="60" t="s">
        <v>85</v>
      </c>
      <c r="G64" s="61" t="s">
        <v>114</v>
      </c>
      <c r="H64" s="62"/>
      <c r="I64" s="63" t="s">
        <v>86</v>
      </c>
    </row>
    <row r="65" spans="1:9" x14ac:dyDescent="0.25">
      <c r="A65" s="64">
        <v>62</v>
      </c>
      <c r="B65" s="65">
        <v>46118</v>
      </c>
      <c r="C65" s="13" t="s">
        <v>119</v>
      </c>
      <c r="D65" s="58" t="s">
        <v>113</v>
      </c>
      <c r="E65" s="66">
        <v>1</v>
      </c>
      <c r="F65" s="67" t="s">
        <v>84</v>
      </c>
      <c r="G65" s="68" t="s">
        <v>114</v>
      </c>
      <c r="H65" s="69"/>
      <c r="I65" s="70" t="s">
        <v>86</v>
      </c>
    </row>
    <row r="66" spans="1:9" x14ac:dyDescent="0.25">
      <c r="A66" s="56">
        <v>63</v>
      </c>
      <c r="B66" s="57">
        <v>46119</v>
      </c>
      <c r="C66" s="5" t="s">
        <v>116</v>
      </c>
      <c r="D66" s="58" t="s">
        <v>113</v>
      </c>
      <c r="E66" s="59">
        <v>1</v>
      </c>
      <c r="F66" s="60" t="s">
        <v>86</v>
      </c>
      <c r="G66" s="61" t="s">
        <v>114</v>
      </c>
      <c r="H66" s="62"/>
      <c r="I66" s="63" t="s">
        <v>86</v>
      </c>
    </row>
    <row r="67" spans="1:9" x14ac:dyDescent="0.25">
      <c r="A67" s="64">
        <v>64</v>
      </c>
      <c r="B67" s="65">
        <v>46119</v>
      </c>
      <c r="C67" s="13" t="s">
        <v>116</v>
      </c>
      <c r="D67" s="58" t="s">
        <v>113</v>
      </c>
      <c r="E67" s="66">
        <v>1</v>
      </c>
      <c r="F67" s="67" t="s">
        <v>88</v>
      </c>
      <c r="G67" s="68" t="s">
        <v>114</v>
      </c>
      <c r="H67" s="69"/>
      <c r="I67" s="70" t="s">
        <v>86</v>
      </c>
    </row>
    <row r="68" spans="1:9" x14ac:dyDescent="0.25">
      <c r="A68" s="56">
        <v>65</v>
      </c>
      <c r="B68" s="57">
        <v>46119</v>
      </c>
      <c r="C68" s="5" t="s">
        <v>128</v>
      </c>
      <c r="D68" s="58" t="s">
        <v>113</v>
      </c>
      <c r="E68" s="59">
        <v>1</v>
      </c>
      <c r="F68" s="60" t="s">
        <v>88</v>
      </c>
      <c r="G68" s="61" t="s">
        <v>114</v>
      </c>
      <c r="H68" s="62"/>
      <c r="I68" s="63" t="s">
        <v>86</v>
      </c>
    </row>
    <row r="69" spans="1:9" x14ac:dyDescent="0.25">
      <c r="A69" s="64">
        <v>66</v>
      </c>
      <c r="B69" s="65">
        <v>46119</v>
      </c>
      <c r="C69" s="13" t="s">
        <v>119</v>
      </c>
      <c r="D69" s="58" t="s">
        <v>113</v>
      </c>
      <c r="E69" s="66">
        <v>1</v>
      </c>
      <c r="F69" s="67" t="s">
        <v>84</v>
      </c>
      <c r="G69" s="68" t="s">
        <v>114</v>
      </c>
      <c r="H69" s="69"/>
      <c r="I69" s="70" t="s">
        <v>86</v>
      </c>
    </row>
    <row r="70" spans="1:9" x14ac:dyDescent="0.25">
      <c r="A70" s="56">
        <v>67</v>
      </c>
      <c r="B70" s="57">
        <v>46121</v>
      </c>
      <c r="C70" s="5" t="s">
        <v>119</v>
      </c>
      <c r="D70" s="58" t="s">
        <v>113</v>
      </c>
      <c r="E70" s="59">
        <v>1</v>
      </c>
      <c r="F70" s="60" t="s">
        <v>91</v>
      </c>
      <c r="G70" s="61" t="s">
        <v>114</v>
      </c>
      <c r="H70" s="62"/>
      <c r="I70" s="63" t="s">
        <v>86</v>
      </c>
    </row>
    <row r="71" spans="1:9" x14ac:dyDescent="0.25">
      <c r="A71" s="64">
        <v>68</v>
      </c>
      <c r="B71" s="65">
        <v>46121</v>
      </c>
      <c r="C71" s="13" t="s">
        <v>129</v>
      </c>
      <c r="D71" s="58" t="s">
        <v>113</v>
      </c>
      <c r="E71" s="66">
        <v>1</v>
      </c>
      <c r="F71" s="67" t="s">
        <v>86</v>
      </c>
      <c r="G71" s="68" t="s">
        <v>124</v>
      </c>
      <c r="H71" s="69"/>
      <c r="I71" s="70" t="s">
        <v>86</v>
      </c>
    </row>
    <row r="72" spans="1:9" x14ac:dyDescent="0.25">
      <c r="A72" s="56">
        <v>69</v>
      </c>
      <c r="B72" s="57">
        <v>46121</v>
      </c>
      <c r="C72" s="5" t="s">
        <v>112</v>
      </c>
      <c r="D72" s="71" t="s">
        <v>121</v>
      </c>
      <c r="E72" s="59">
        <v>1</v>
      </c>
      <c r="F72" s="60" t="s">
        <v>86</v>
      </c>
      <c r="G72" s="61" t="s">
        <v>122</v>
      </c>
      <c r="H72" s="62"/>
      <c r="I72" s="63" t="s">
        <v>86</v>
      </c>
    </row>
    <row r="73" spans="1:9" x14ac:dyDescent="0.25">
      <c r="A73" s="64">
        <v>70</v>
      </c>
      <c r="B73" s="65">
        <v>46121</v>
      </c>
      <c r="C73" s="13" t="s">
        <v>112</v>
      </c>
      <c r="D73" s="58" t="s">
        <v>113</v>
      </c>
      <c r="E73" s="66">
        <v>1</v>
      </c>
      <c r="F73" s="67" t="s">
        <v>86</v>
      </c>
      <c r="G73" s="68" t="s">
        <v>114</v>
      </c>
      <c r="H73" s="69"/>
      <c r="I73" s="70" t="s">
        <v>86</v>
      </c>
    </row>
    <row r="74" spans="1:9" x14ac:dyDescent="0.25">
      <c r="A74" s="56">
        <v>71</v>
      </c>
      <c r="B74" s="57">
        <v>46122</v>
      </c>
      <c r="C74" s="5" t="s">
        <v>112</v>
      </c>
      <c r="D74" s="71" t="s">
        <v>121</v>
      </c>
      <c r="E74" s="59">
        <v>9</v>
      </c>
      <c r="F74" s="60" t="s">
        <v>86</v>
      </c>
      <c r="G74" s="61" t="s">
        <v>122</v>
      </c>
      <c r="H74" s="62" t="s">
        <v>123</v>
      </c>
      <c r="I74" s="63" t="s">
        <v>86</v>
      </c>
    </row>
    <row r="75" spans="1:9" x14ac:dyDescent="0.25">
      <c r="A75" s="64">
        <v>72</v>
      </c>
      <c r="B75" s="65">
        <v>46122</v>
      </c>
      <c r="C75" s="13" t="s">
        <v>112</v>
      </c>
      <c r="D75" s="58" t="s">
        <v>113</v>
      </c>
      <c r="E75" s="66">
        <v>1</v>
      </c>
      <c r="F75" s="67" t="s">
        <v>86</v>
      </c>
      <c r="G75" s="68" t="s">
        <v>114</v>
      </c>
      <c r="H75" s="69"/>
      <c r="I75" s="70" t="s">
        <v>86</v>
      </c>
    </row>
    <row r="76" spans="1:9" x14ac:dyDescent="0.25">
      <c r="A76" s="56">
        <v>73</v>
      </c>
      <c r="B76" s="57">
        <v>46122</v>
      </c>
      <c r="C76" s="5" t="s">
        <v>112</v>
      </c>
      <c r="D76" s="58" t="s">
        <v>113</v>
      </c>
      <c r="E76" s="59">
        <v>1</v>
      </c>
      <c r="F76" s="60" t="s">
        <v>91</v>
      </c>
      <c r="G76" s="61" t="s">
        <v>114</v>
      </c>
      <c r="H76" s="62"/>
      <c r="I76" s="63" t="s">
        <v>86</v>
      </c>
    </row>
    <row r="77" spans="1:9" x14ac:dyDescent="0.25">
      <c r="A77" s="64">
        <v>74</v>
      </c>
      <c r="B77" s="65">
        <v>46122</v>
      </c>
      <c r="C77" s="13" t="s">
        <v>112</v>
      </c>
      <c r="D77" s="58" t="s">
        <v>113</v>
      </c>
      <c r="E77" s="66">
        <v>1</v>
      </c>
      <c r="F77" s="67" t="s">
        <v>85</v>
      </c>
      <c r="G77" s="68" t="s">
        <v>114</v>
      </c>
      <c r="H77" s="69"/>
      <c r="I77" s="70" t="s">
        <v>86</v>
      </c>
    </row>
    <row r="78" spans="1:9" x14ac:dyDescent="0.25">
      <c r="A78" s="56">
        <v>75</v>
      </c>
      <c r="B78" s="57">
        <v>46122</v>
      </c>
      <c r="C78" s="5" t="s">
        <v>129</v>
      </c>
      <c r="D78" s="71" t="s">
        <v>121</v>
      </c>
      <c r="E78" s="59">
        <v>5</v>
      </c>
      <c r="F78" s="60" t="s">
        <v>92</v>
      </c>
      <c r="G78" s="61" t="s">
        <v>122</v>
      </c>
      <c r="H78" s="62" t="s">
        <v>127</v>
      </c>
      <c r="I78" s="63" t="s">
        <v>86</v>
      </c>
    </row>
    <row r="79" spans="1:9" x14ac:dyDescent="0.25">
      <c r="A79" s="64">
        <v>76</v>
      </c>
      <c r="B79" s="65">
        <v>46122</v>
      </c>
      <c r="C79" s="13" t="s">
        <v>119</v>
      </c>
      <c r="D79" s="58" t="s">
        <v>113</v>
      </c>
      <c r="E79" s="66">
        <v>1</v>
      </c>
      <c r="F79" s="67" t="s">
        <v>84</v>
      </c>
      <c r="G79" s="68" t="s">
        <v>114</v>
      </c>
      <c r="H79" s="69"/>
      <c r="I79" s="70" t="s">
        <v>86</v>
      </c>
    </row>
    <row r="80" spans="1:9" x14ac:dyDescent="0.25">
      <c r="A80" s="56">
        <v>77</v>
      </c>
      <c r="B80" s="57">
        <v>46125</v>
      </c>
      <c r="C80" s="5" t="s">
        <v>119</v>
      </c>
      <c r="D80" s="58" t="s">
        <v>113</v>
      </c>
      <c r="E80" s="59">
        <v>3</v>
      </c>
      <c r="F80" s="60" t="s">
        <v>84</v>
      </c>
      <c r="G80" s="61" t="s">
        <v>114</v>
      </c>
      <c r="H80" s="62"/>
      <c r="I80" s="63" t="s">
        <v>86</v>
      </c>
    </row>
    <row r="81" spans="1:9" x14ac:dyDescent="0.25">
      <c r="A81" s="64">
        <v>78</v>
      </c>
      <c r="B81" s="65">
        <v>46126</v>
      </c>
      <c r="C81" s="13" t="s">
        <v>116</v>
      </c>
      <c r="D81" s="58" t="s">
        <v>113</v>
      </c>
      <c r="E81" s="66">
        <v>1</v>
      </c>
      <c r="F81" s="67" t="s">
        <v>89</v>
      </c>
      <c r="G81" s="68" t="s">
        <v>114</v>
      </c>
      <c r="H81" s="69"/>
      <c r="I81" s="70" t="s">
        <v>86</v>
      </c>
    </row>
    <row r="82" spans="1:9" x14ac:dyDescent="0.25">
      <c r="A82" s="83">
        <v>79</v>
      </c>
      <c r="B82" s="84">
        <v>46147</v>
      </c>
      <c r="C82" s="85" t="s">
        <v>112</v>
      </c>
      <c r="D82" s="86" t="s">
        <v>113</v>
      </c>
      <c r="E82" s="87">
        <v>20</v>
      </c>
      <c r="F82" s="88" t="s">
        <v>89</v>
      </c>
      <c r="G82" s="89" t="s">
        <v>114</v>
      </c>
      <c r="I82" s="90" t="s">
        <v>86</v>
      </c>
    </row>
  </sheetData>
  <mergeCells count="2">
    <mergeCell ref="A1:I1"/>
    <mergeCell ref="A2:I2"/>
  </mergeCells>
  <conditionalFormatting sqref="D4:D5000">
    <cfRule type="expression" dxfId="1" priority="1">
      <formula>$D4="Saída"</formula>
    </cfRule>
    <cfRule type="expression" dxfId="0" priority="2">
      <formula>$D4="Entrada"</formula>
    </cfRule>
  </conditionalFormatting>
  <dataValidations count="1">
    <dataValidation type="whole" operator="greaterThan" allowBlank="1" showErrorMessage="1" errorTitle="Quantidade inválida" error="A quantidade deve ser maior que zero." sqref="E4:E5000" xr:uid="{00000000-0002-0000-0300-000000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showGridLines="0"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6" customWidth="1"/>
    <col min="2" max="2" width="24" customWidth="1"/>
    <col min="3" max="3" width="12" customWidth="1"/>
    <col min="4" max="4" width="18" customWidth="1"/>
    <col min="5" max="5" width="15" customWidth="1"/>
    <col min="6" max="6" width="18" customWidth="1"/>
    <col min="7" max="7" width="16" customWidth="1"/>
    <col min="8" max="8" width="14" customWidth="1"/>
    <col min="9" max="9" width="22" customWidth="1"/>
    <col min="10" max="10" width="6" hidden="1" customWidth="1"/>
  </cols>
  <sheetData>
    <row r="1" spans="1:10" ht="50.1" customHeight="1" x14ac:dyDescent="0.25">
      <c r="A1" s="116" t="s">
        <v>131</v>
      </c>
      <c r="B1" s="97"/>
      <c r="C1" s="97"/>
      <c r="D1" s="97"/>
      <c r="E1" s="97"/>
      <c r="F1" s="97"/>
      <c r="G1" s="97"/>
      <c r="H1" s="97"/>
      <c r="I1" s="97"/>
    </row>
    <row r="2" spans="1:10" ht="21.95" customHeight="1" x14ac:dyDescent="0.25">
      <c r="A2" s="117" t="s">
        <v>132</v>
      </c>
      <c r="B2" s="97"/>
      <c r="C2" s="97"/>
      <c r="D2" s="97"/>
      <c r="E2" s="97"/>
      <c r="F2" s="97"/>
      <c r="G2" s="97"/>
      <c r="H2" s="97"/>
      <c r="I2" s="97"/>
    </row>
    <row r="3" spans="1:10" ht="36" customHeight="1" x14ac:dyDescent="0.25">
      <c r="A3" s="30" t="s">
        <v>106</v>
      </c>
      <c r="B3" s="30" t="s">
        <v>56</v>
      </c>
      <c r="C3" s="30" t="s">
        <v>96</v>
      </c>
      <c r="D3" s="30" t="s">
        <v>95</v>
      </c>
      <c r="E3" s="30" t="s">
        <v>133</v>
      </c>
      <c r="F3" s="30" t="s">
        <v>134</v>
      </c>
      <c r="G3" s="30" t="s">
        <v>135</v>
      </c>
      <c r="H3" s="30" t="s">
        <v>136</v>
      </c>
      <c r="I3" s="30" t="s">
        <v>137</v>
      </c>
      <c r="J3">
        <v>0</v>
      </c>
    </row>
    <row r="4" spans="1:10" x14ac:dyDescent="0.25">
      <c r="A4" s="56">
        <v>1</v>
      </c>
      <c r="B4" s="5" t="s">
        <v>112</v>
      </c>
      <c r="C4" s="61" t="s">
        <v>96</v>
      </c>
      <c r="D4" s="61" t="s">
        <v>138</v>
      </c>
      <c r="E4" s="72">
        <v>5</v>
      </c>
      <c r="F4" s="72">
        <v>16</v>
      </c>
      <c r="G4" s="73">
        <v>28.5</v>
      </c>
      <c r="H4" s="74">
        <v>7</v>
      </c>
      <c r="I4" s="60" t="s">
        <v>139</v>
      </c>
      <c r="J4">
        <f>IF(B4="","",MAX($J$3:J3)+1)</f>
        <v>1</v>
      </c>
    </row>
    <row r="5" spans="1:10" x14ac:dyDescent="0.25">
      <c r="A5" s="64">
        <v>2</v>
      </c>
      <c r="B5" s="13" t="s">
        <v>119</v>
      </c>
      <c r="C5" s="68" t="s">
        <v>96</v>
      </c>
      <c r="D5" s="68" t="s">
        <v>140</v>
      </c>
      <c r="E5" s="75">
        <v>10</v>
      </c>
      <c r="F5" s="75">
        <v>5</v>
      </c>
      <c r="G5" s="76">
        <v>0.8</v>
      </c>
      <c r="H5" s="77">
        <v>5</v>
      </c>
      <c r="I5" s="67" t="s">
        <v>141</v>
      </c>
      <c r="J5">
        <f>IF(B5="","",MAX($J$3:J4)+1)</f>
        <v>2</v>
      </c>
    </row>
    <row r="6" spans="1:10" x14ac:dyDescent="0.25">
      <c r="A6" s="56">
        <v>3</v>
      </c>
      <c r="B6" s="5" t="s">
        <v>115</v>
      </c>
      <c r="C6" s="61" t="s">
        <v>142</v>
      </c>
      <c r="D6" s="61" t="s">
        <v>143</v>
      </c>
      <c r="E6" s="72">
        <v>2</v>
      </c>
      <c r="F6" s="72">
        <v>4</v>
      </c>
      <c r="G6" s="73">
        <v>8.9</v>
      </c>
      <c r="H6" s="74">
        <v>5</v>
      </c>
      <c r="I6" s="60" t="s">
        <v>139</v>
      </c>
      <c r="J6">
        <f>IF(B6="","",MAX($J$3:J5)+1)</f>
        <v>3</v>
      </c>
    </row>
    <row r="7" spans="1:10" x14ac:dyDescent="0.25">
      <c r="A7" s="64">
        <v>4</v>
      </c>
      <c r="B7" s="13" t="s">
        <v>117</v>
      </c>
      <c r="C7" s="68" t="s">
        <v>96</v>
      </c>
      <c r="D7" s="68" t="s">
        <v>140</v>
      </c>
      <c r="E7" s="75">
        <v>50</v>
      </c>
      <c r="F7" s="75">
        <v>500</v>
      </c>
      <c r="G7" s="76">
        <v>0.45</v>
      </c>
      <c r="H7" s="77">
        <v>10</v>
      </c>
      <c r="I7" s="67" t="s">
        <v>141</v>
      </c>
      <c r="J7">
        <f>IF(B7="","",MAX($J$3:J6)+1)</f>
        <v>4</v>
      </c>
    </row>
    <row r="8" spans="1:10" x14ac:dyDescent="0.25">
      <c r="A8" s="56">
        <v>5</v>
      </c>
      <c r="B8" s="5" t="s">
        <v>144</v>
      </c>
      <c r="C8" s="61" t="s">
        <v>96</v>
      </c>
      <c r="D8" s="61" t="s">
        <v>143</v>
      </c>
      <c r="E8" s="72">
        <v>2</v>
      </c>
      <c r="F8" s="72">
        <v>0</v>
      </c>
      <c r="G8" s="73">
        <v>12.5</v>
      </c>
      <c r="H8" s="74">
        <v>7</v>
      </c>
      <c r="I8" s="60" t="s">
        <v>139</v>
      </c>
      <c r="J8">
        <f>IF(B8="","",MAX($J$3:J7)+1)</f>
        <v>5</v>
      </c>
    </row>
    <row r="9" spans="1:10" x14ac:dyDescent="0.25">
      <c r="A9" s="64">
        <v>6</v>
      </c>
      <c r="B9" s="13" t="s">
        <v>145</v>
      </c>
      <c r="C9" s="68" t="s">
        <v>96</v>
      </c>
      <c r="D9" s="68" t="s">
        <v>143</v>
      </c>
      <c r="E9" s="75">
        <v>2</v>
      </c>
      <c r="F9" s="75">
        <v>0</v>
      </c>
      <c r="G9" s="76">
        <v>4.2</v>
      </c>
      <c r="H9" s="77">
        <v>7</v>
      </c>
      <c r="I9" s="67" t="s">
        <v>139</v>
      </c>
      <c r="J9">
        <f>IF(B9="","",MAX($J$3:J8)+1)</f>
        <v>6</v>
      </c>
    </row>
    <row r="10" spans="1:10" x14ac:dyDescent="0.25">
      <c r="A10" s="56">
        <v>7</v>
      </c>
      <c r="B10" s="5" t="s">
        <v>116</v>
      </c>
      <c r="C10" s="61" t="s">
        <v>96</v>
      </c>
      <c r="D10" s="61" t="s">
        <v>143</v>
      </c>
      <c r="E10" s="72">
        <v>5</v>
      </c>
      <c r="F10" s="72">
        <v>0</v>
      </c>
      <c r="G10" s="73">
        <v>2.8</v>
      </c>
      <c r="H10" s="74">
        <v>3</v>
      </c>
      <c r="I10" s="60" t="s">
        <v>139</v>
      </c>
      <c r="J10">
        <f>IF(B10="","",MAX($J$3:J9)+1)</f>
        <v>7</v>
      </c>
    </row>
    <row r="11" spans="1:10" x14ac:dyDescent="0.25">
      <c r="A11" s="64">
        <v>8</v>
      </c>
      <c r="B11" s="13" t="s">
        <v>146</v>
      </c>
      <c r="C11" s="68" t="s">
        <v>147</v>
      </c>
      <c r="D11" s="68" t="s">
        <v>143</v>
      </c>
      <c r="E11" s="75">
        <v>2</v>
      </c>
      <c r="F11" s="75">
        <v>1</v>
      </c>
      <c r="G11" s="76">
        <v>3.5</v>
      </c>
      <c r="H11" s="77">
        <v>7</v>
      </c>
      <c r="I11" s="67" t="s">
        <v>139</v>
      </c>
      <c r="J11">
        <f>IF(B11="","",MAX($J$3:J10)+1)</f>
        <v>8</v>
      </c>
    </row>
    <row r="12" spans="1:10" x14ac:dyDescent="0.25">
      <c r="A12" s="56">
        <v>9</v>
      </c>
      <c r="B12" s="5" t="s">
        <v>130</v>
      </c>
      <c r="C12" s="61" t="s">
        <v>142</v>
      </c>
      <c r="D12" s="61" t="s">
        <v>143</v>
      </c>
      <c r="E12" s="72">
        <v>1</v>
      </c>
      <c r="F12" s="72">
        <v>2</v>
      </c>
      <c r="G12" s="73">
        <v>6</v>
      </c>
      <c r="H12" s="74">
        <v>7</v>
      </c>
      <c r="I12" s="60" t="s">
        <v>139</v>
      </c>
      <c r="J12">
        <f>IF(B12="","",MAX($J$3:J11)+1)</f>
        <v>9</v>
      </c>
    </row>
    <row r="13" spans="1:10" x14ac:dyDescent="0.25">
      <c r="A13" s="64">
        <v>10</v>
      </c>
      <c r="B13" s="13" t="s">
        <v>148</v>
      </c>
      <c r="C13" s="68" t="s">
        <v>142</v>
      </c>
      <c r="D13" s="68" t="s">
        <v>143</v>
      </c>
      <c r="E13" s="75">
        <v>1</v>
      </c>
      <c r="F13" s="75">
        <v>2</v>
      </c>
      <c r="G13" s="76">
        <v>9.5</v>
      </c>
      <c r="H13" s="77">
        <v>7</v>
      </c>
      <c r="I13" s="67" t="s">
        <v>139</v>
      </c>
      <c r="J13">
        <f>IF(B13="","",MAX($J$3:J12)+1)</f>
        <v>10</v>
      </c>
    </row>
    <row r="14" spans="1:10" x14ac:dyDescent="0.25">
      <c r="A14" s="56">
        <v>11</v>
      </c>
      <c r="B14" s="5" t="s">
        <v>118</v>
      </c>
      <c r="C14" s="61" t="s">
        <v>149</v>
      </c>
      <c r="D14" s="61" t="s">
        <v>143</v>
      </c>
      <c r="E14" s="72">
        <v>2</v>
      </c>
      <c r="F14" s="72">
        <v>12</v>
      </c>
      <c r="G14" s="73">
        <v>5.2</v>
      </c>
      <c r="H14" s="74">
        <v>10</v>
      </c>
      <c r="I14" s="60" t="s">
        <v>139</v>
      </c>
      <c r="J14">
        <f>IF(B14="","",MAX($J$3:J13)+1)</f>
        <v>11</v>
      </c>
    </row>
    <row r="15" spans="1:10" x14ac:dyDescent="0.25">
      <c r="A15" s="64">
        <v>12</v>
      </c>
      <c r="B15" s="13" t="s">
        <v>150</v>
      </c>
      <c r="C15" s="68" t="s">
        <v>96</v>
      </c>
      <c r="D15" s="68" t="s">
        <v>143</v>
      </c>
      <c r="E15" s="75">
        <v>2</v>
      </c>
      <c r="F15" s="75">
        <v>0</v>
      </c>
      <c r="G15" s="76">
        <v>8.9</v>
      </c>
      <c r="H15" s="77">
        <v>7</v>
      </c>
      <c r="I15" s="67" t="s">
        <v>139</v>
      </c>
      <c r="J15">
        <f>IF(B15="","",MAX($J$3:J14)+1)</f>
        <v>12</v>
      </c>
    </row>
    <row r="16" spans="1:10" x14ac:dyDescent="0.25">
      <c r="A16" s="56">
        <v>13</v>
      </c>
      <c r="B16" s="5" t="s">
        <v>151</v>
      </c>
      <c r="C16" s="61" t="s">
        <v>96</v>
      </c>
      <c r="D16" s="61" t="s">
        <v>143</v>
      </c>
      <c r="E16" s="72">
        <v>2</v>
      </c>
      <c r="F16" s="72">
        <v>3</v>
      </c>
      <c r="G16" s="73">
        <v>3.5</v>
      </c>
      <c r="H16" s="74">
        <v>7</v>
      </c>
      <c r="I16" s="60" t="s">
        <v>139</v>
      </c>
      <c r="J16">
        <f>IF(B16="","",MAX($J$3:J15)+1)</f>
        <v>13</v>
      </c>
    </row>
    <row r="17" spans="1:10" x14ac:dyDescent="0.25">
      <c r="A17" s="64">
        <v>14</v>
      </c>
      <c r="B17" s="13" t="s">
        <v>152</v>
      </c>
      <c r="C17" s="68" t="s">
        <v>96</v>
      </c>
      <c r="D17" s="68" t="s">
        <v>153</v>
      </c>
      <c r="E17" s="75">
        <v>1</v>
      </c>
      <c r="F17" s="75">
        <v>1</v>
      </c>
      <c r="G17" s="76">
        <v>6.5</v>
      </c>
      <c r="H17" s="77">
        <v>10</v>
      </c>
      <c r="I17" s="67" t="s">
        <v>154</v>
      </c>
      <c r="J17">
        <f>IF(B17="","",MAX($J$3:J16)+1)</f>
        <v>14</v>
      </c>
    </row>
    <row r="18" spans="1:10" x14ac:dyDescent="0.25">
      <c r="A18" s="56">
        <v>15</v>
      </c>
      <c r="B18" s="5" t="s">
        <v>155</v>
      </c>
      <c r="C18" s="61" t="s">
        <v>96</v>
      </c>
      <c r="D18" s="61" t="s">
        <v>156</v>
      </c>
      <c r="E18" s="72">
        <v>1</v>
      </c>
      <c r="F18" s="72">
        <v>1</v>
      </c>
      <c r="G18" s="73">
        <v>15</v>
      </c>
      <c r="H18" s="74">
        <v>10</v>
      </c>
      <c r="I18" s="60" t="s">
        <v>157</v>
      </c>
      <c r="J18">
        <f>IF(B18="","",MAX($J$3:J17)+1)</f>
        <v>15</v>
      </c>
    </row>
    <row r="19" spans="1:10" x14ac:dyDescent="0.25">
      <c r="A19" s="64">
        <v>16</v>
      </c>
      <c r="B19" s="13" t="s">
        <v>158</v>
      </c>
      <c r="C19" s="68" t="s">
        <v>96</v>
      </c>
      <c r="D19" s="68" t="s">
        <v>159</v>
      </c>
      <c r="E19" s="75">
        <v>2</v>
      </c>
      <c r="F19" s="75">
        <v>9</v>
      </c>
      <c r="G19" s="76">
        <v>5.5</v>
      </c>
      <c r="H19" s="77">
        <v>5</v>
      </c>
      <c r="I19" s="67" t="s">
        <v>160</v>
      </c>
      <c r="J19">
        <f>IF(B19="","",MAX($J$3:J18)+1)</f>
        <v>16</v>
      </c>
    </row>
    <row r="20" spans="1:10" x14ac:dyDescent="0.25">
      <c r="A20" s="56">
        <v>17</v>
      </c>
      <c r="B20" s="5" t="s">
        <v>161</v>
      </c>
      <c r="C20" s="61" t="s">
        <v>96</v>
      </c>
      <c r="D20" s="61" t="s">
        <v>159</v>
      </c>
      <c r="E20" s="72">
        <v>4</v>
      </c>
      <c r="F20" s="72">
        <v>0</v>
      </c>
      <c r="G20" s="73">
        <v>3.8</v>
      </c>
      <c r="H20" s="74">
        <v>5</v>
      </c>
      <c r="I20" s="60" t="s">
        <v>160</v>
      </c>
      <c r="J20">
        <f>IF(B20="","",MAX($J$3:J19)+1)</f>
        <v>17</v>
      </c>
    </row>
    <row r="21" spans="1:10" x14ac:dyDescent="0.25">
      <c r="A21" s="64">
        <v>18</v>
      </c>
      <c r="B21" s="13" t="s">
        <v>162</v>
      </c>
      <c r="C21" s="68" t="s">
        <v>96</v>
      </c>
      <c r="D21" s="68" t="s">
        <v>143</v>
      </c>
      <c r="E21" s="75">
        <v>2</v>
      </c>
      <c r="F21" s="75">
        <v>0</v>
      </c>
      <c r="G21" s="76">
        <v>4.5</v>
      </c>
      <c r="H21" s="77">
        <v>7</v>
      </c>
      <c r="I21" s="67" t="s">
        <v>139</v>
      </c>
      <c r="J21">
        <f>IF(B21="","",MAX($J$3:J20)+1)</f>
        <v>18</v>
      </c>
    </row>
    <row r="22" spans="1:10" x14ac:dyDescent="0.25">
      <c r="A22" s="56">
        <v>19</v>
      </c>
      <c r="B22" s="5" t="s">
        <v>163</v>
      </c>
      <c r="C22" s="61" t="s">
        <v>96</v>
      </c>
      <c r="D22" s="61" t="s">
        <v>143</v>
      </c>
      <c r="E22" s="72">
        <v>1</v>
      </c>
      <c r="F22" s="72">
        <v>0</v>
      </c>
      <c r="G22" s="73">
        <v>3.2</v>
      </c>
      <c r="H22" s="74">
        <v>7</v>
      </c>
      <c r="I22" s="60" t="s">
        <v>139</v>
      </c>
      <c r="J22">
        <f>IF(B22="","",MAX($J$3:J21)+1)</f>
        <v>19</v>
      </c>
    </row>
    <row r="23" spans="1:10" x14ac:dyDescent="0.25">
      <c r="A23" s="64">
        <v>20</v>
      </c>
      <c r="B23" s="13" t="s">
        <v>126</v>
      </c>
      <c r="C23" s="68" t="s">
        <v>96</v>
      </c>
      <c r="D23" s="68" t="s">
        <v>143</v>
      </c>
      <c r="E23" s="75">
        <v>1</v>
      </c>
      <c r="F23" s="75">
        <v>0</v>
      </c>
      <c r="G23" s="76">
        <v>24.9</v>
      </c>
      <c r="H23" s="77">
        <v>10</v>
      </c>
      <c r="I23" s="67" t="s">
        <v>139</v>
      </c>
      <c r="J23">
        <f>IF(B23="","",MAX($J$3:J22)+1)</f>
        <v>20</v>
      </c>
    </row>
    <row r="24" spans="1:10" x14ac:dyDescent="0.25">
      <c r="A24" s="56">
        <v>21</v>
      </c>
      <c r="B24" s="5" t="s">
        <v>128</v>
      </c>
      <c r="C24" s="61" t="s">
        <v>96</v>
      </c>
      <c r="D24" s="61" t="s">
        <v>143</v>
      </c>
      <c r="E24" s="72">
        <v>5</v>
      </c>
      <c r="F24" s="72">
        <v>0</v>
      </c>
      <c r="G24" s="73">
        <v>7.8</v>
      </c>
      <c r="H24" s="74">
        <v>5</v>
      </c>
      <c r="I24" s="60" t="s">
        <v>139</v>
      </c>
      <c r="J24">
        <f>IF(B24="","",MAX($J$3:J23)+1)</f>
        <v>21</v>
      </c>
    </row>
    <row r="25" spans="1:10" x14ac:dyDescent="0.25">
      <c r="A25" s="64">
        <v>22</v>
      </c>
      <c r="B25" s="13" t="s">
        <v>129</v>
      </c>
      <c r="C25" s="68" t="s">
        <v>96</v>
      </c>
      <c r="D25" s="68" t="s">
        <v>124</v>
      </c>
      <c r="E25" s="75">
        <v>2</v>
      </c>
      <c r="F25" s="75">
        <v>0</v>
      </c>
      <c r="G25" s="76">
        <v>18</v>
      </c>
      <c r="H25" s="77">
        <v>10</v>
      </c>
      <c r="I25" s="67" t="s">
        <v>141</v>
      </c>
      <c r="J25">
        <f>IF(B25="","",MAX($J$3:J24)+1)</f>
        <v>22</v>
      </c>
    </row>
    <row r="26" spans="1:10" x14ac:dyDescent="0.25">
      <c r="A26" s="56">
        <v>23</v>
      </c>
      <c r="B26" s="5" t="s">
        <v>164</v>
      </c>
      <c r="C26" s="61" t="s">
        <v>96</v>
      </c>
      <c r="D26" s="61" t="s">
        <v>143</v>
      </c>
      <c r="E26" s="72">
        <v>5</v>
      </c>
      <c r="F26" s="72">
        <v>0</v>
      </c>
      <c r="G26" s="73">
        <v>2.8</v>
      </c>
      <c r="H26" s="74">
        <v>3</v>
      </c>
      <c r="I26" s="60" t="s">
        <v>139</v>
      </c>
      <c r="J26">
        <f>IF(B26="","",MAX($J$3:J25)+1)</f>
        <v>23</v>
      </c>
    </row>
    <row r="27" spans="1:10" x14ac:dyDescent="0.25">
      <c r="A27" s="64">
        <v>24</v>
      </c>
      <c r="B27" s="13" t="s">
        <v>165</v>
      </c>
      <c r="C27" s="68" t="s">
        <v>96</v>
      </c>
      <c r="D27" s="68" t="s">
        <v>143</v>
      </c>
      <c r="E27" s="75">
        <v>2</v>
      </c>
      <c r="F27" s="75">
        <v>0</v>
      </c>
      <c r="G27" s="76">
        <v>12</v>
      </c>
      <c r="H27" s="77">
        <v>10</v>
      </c>
      <c r="I27" s="67" t="s">
        <v>139</v>
      </c>
      <c r="J27">
        <f>IF(B27="","",MAX($J$3:J26)+1)</f>
        <v>24</v>
      </c>
    </row>
    <row r="28" spans="1:10" x14ac:dyDescent="0.25">
      <c r="A28" s="56">
        <v>25</v>
      </c>
      <c r="B28" s="5" t="s">
        <v>166</v>
      </c>
      <c r="C28" s="61" t="s">
        <v>167</v>
      </c>
      <c r="D28" s="61" t="s">
        <v>138</v>
      </c>
      <c r="E28" s="72">
        <v>2</v>
      </c>
      <c r="F28" s="72">
        <v>0</v>
      </c>
      <c r="G28" s="73">
        <v>45</v>
      </c>
      <c r="H28" s="74">
        <v>10</v>
      </c>
      <c r="I28" s="60" t="s">
        <v>139</v>
      </c>
      <c r="J28">
        <f>IF(B28="","",MAX($J$3:J27)+1)</f>
        <v>25</v>
      </c>
    </row>
    <row r="29" spans="1:10" x14ac:dyDescent="0.25">
      <c r="A29" s="64"/>
      <c r="B29" s="67"/>
      <c r="C29" s="68"/>
      <c r="D29" s="68"/>
      <c r="E29" s="75"/>
      <c r="F29" s="75"/>
      <c r="G29" s="76"/>
      <c r="H29" s="75"/>
      <c r="I29" s="67"/>
      <c r="J29" t="str">
        <f>IF(B29="","",MAX($J$3:J28)+1)</f>
        <v/>
      </c>
    </row>
    <row r="30" spans="1:10" x14ac:dyDescent="0.25">
      <c r="A30" s="56"/>
      <c r="B30" s="60"/>
      <c r="C30" s="61"/>
      <c r="D30" s="61"/>
      <c r="E30" s="72"/>
      <c r="F30" s="72"/>
      <c r="G30" s="73"/>
      <c r="H30" s="72"/>
      <c r="I30" s="60"/>
      <c r="J30" t="str">
        <f>IF(B30="","",MAX($J$3:J29)+1)</f>
        <v/>
      </c>
    </row>
    <row r="31" spans="1:10" x14ac:dyDescent="0.25">
      <c r="A31" s="64"/>
      <c r="B31" s="67"/>
      <c r="C31" s="68"/>
      <c r="D31" s="68"/>
      <c r="E31" s="75"/>
      <c r="F31" s="75"/>
      <c r="G31" s="76"/>
      <c r="H31" s="75"/>
      <c r="I31" s="67"/>
      <c r="J31" t="str">
        <f>IF(B31="","",MAX($J$3:J30)+1)</f>
        <v/>
      </c>
    </row>
    <row r="32" spans="1:10" x14ac:dyDescent="0.25">
      <c r="A32" s="56"/>
      <c r="B32" s="60"/>
      <c r="C32" s="61"/>
      <c r="D32" s="61"/>
      <c r="E32" s="72"/>
      <c r="F32" s="72"/>
      <c r="G32" s="73"/>
      <c r="H32" s="72"/>
      <c r="I32" s="60"/>
      <c r="J32" t="str">
        <f>IF(B32="","",MAX($J$3:J31)+1)</f>
        <v/>
      </c>
    </row>
    <row r="33" spans="1:10" x14ac:dyDescent="0.25">
      <c r="A33" s="64"/>
      <c r="B33" s="67"/>
      <c r="C33" s="68"/>
      <c r="D33" s="68"/>
      <c r="E33" s="75"/>
      <c r="F33" s="75"/>
      <c r="G33" s="76"/>
      <c r="H33" s="75"/>
      <c r="I33" s="67"/>
      <c r="J33" t="str">
        <f>IF(B33="","",MAX($J$3:J32)+1)</f>
        <v/>
      </c>
    </row>
    <row r="34" spans="1:10" x14ac:dyDescent="0.25">
      <c r="A34" s="56"/>
      <c r="B34" s="60"/>
      <c r="C34" s="61"/>
      <c r="D34" s="61"/>
      <c r="E34" s="72"/>
      <c r="F34" s="72"/>
      <c r="G34" s="73"/>
      <c r="H34" s="72"/>
      <c r="I34" s="60"/>
      <c r="J34" t="str">
        <f>IF(B34="","",MAX($J$3:J33)+1)</f>
        <v/>
      </c>
    </row>
    <row r="35" spans="1:10" x14ac:dyDescent="0.25">
      <c r="A35" s="64"/>
      <c r="B35" s="67"/>
      <c r="C35" s="68"/>
      <c r="D35" s="68"/>
      <c r="E35" s="75"/>
      <c r="F35" s="75"/>
      <c r="G35" s="76"/>
      <c r="H35" s="75"/>
      <c r="I35" s="67"/>
      <c r="J35" t="str">
        <f>IF(B35="","",MAX($J$3:J34)+1)</f>
        <v/>
      </c>
    </row>
    <row r="36" spans="1:10" x14ac:dyDescent="0.25">
      <c r="A36" s="56"/>
      <c r="B36" s="60"/>
      <c r="C36" s="61"/>
      <c r="D36" s="61"/>
      <c r="E36" s="72"/>
      <c r="F36" s="72"/>
      <c r="G36" s="73"/>
      <c r="H36" s="72"/>
      <c r="I36" s="60"/>
      <c r="J36" t="str">
        <f>IF(B36="","",MAX($J$3:J35)+1)</f>
        <v/>
      </c>
    </row>
    <row r="37" spans="1:10" x14ac:dyDescent="0.25">
      <c r="A37" s="64"/>
      <c r="B37" s="67"/>
      <c r="C37" s="68"/>
      <c r="D37" s="68"/>
      <c r="E37" s="75"/>
      <c r="F37" s="75"/>
      <c r="G37" s="76"/>
      <c r="H37" s="75"/>
      <c r="I37" s="67"/>
      <c r="J37" t="str">
        <f>IF(B37="","",MAX($J$3:J36)+1)</f>
        <v/>
      </c>
    </row>
    <row r="38" spans="1:10" x14ac:dyDescent="0.25">
      <c r="A38" s="56"/>
      <c r="B38" s="60"/>
      <c r="C38" s="61"/>
      <c r="D38" s="61"/>
      <c r="E38" s="72"/>
      <c r="F38" s="72"/>
      <c r="G38" s="73"/>
      <c r="H38" s="72"/>
      <c r="I38" s="60"/>
      <c r="J38" t="str">
        <f>IF(B38="","",MAX($J$3:J37)+1)</f>
        <v/>
      </c>
    </row>
    <row r="39" spans="1:10" x14ac:dyDescent="0.25">
      <c r="A39" s="64"/>
      <c r="B39" s="67"/>
      <c r="C39" s="68"/>
      <c r="D39" s="68"/>
      <c r="E39" s="75"/>
      <c r="F39" s="75"/>
      <c r="G39" s="76"/>
      <c r="H39" s="75"/>
      <c r="I39" s="67"/>
      <c r="J39" t="str">
        <f>IF(B39="","",MAX($J$3:J38)+1)</f>
        <v/>
      </c>
    </row>
    <row r="40" spans="1:10" x14ac:dyDescent="0.25">
      <c r="A40" s="56"/>
      <c r="B40" s="60"/>
      <c r="C40" s="61"/>
      <c r="D40" s="61"/>
      <c r="E40" s="72"/>
      <c r="F40" s="72"/>
      <c r="G40" s="73"/>
      <c r="H40" s="72"/>
      <c r="I40" s="60"/>
      <c r="J40" t="str">
        <f>IF(B40="","",MAX($J$3:J39)+1)</f>
        <v/>
      </c>
    </row>
    <row r="41" spans="1:10" x14ac:dyDescent="0.25">
      <c r="A41" s="64"/>
      <c r="B41" s="67"/>
      <c r="C41" s="68"/>
      <c r="D41" s="68"/>
      <c r="E41" s="75"/>
      <c r="F41" s="75"/>
      <c r="G41" s="76"/>
      <c r="H41" s="75"/>
      <c r="I41" s="67"/>
      <c r="J41" t="str">
        <f>IF(B41="","",MAX($J$3:J40)+1)</f>
        <v/>
      </c>
    </row>
    <row r="42" spans="1:10" x14ac:dyDescent="0.25">
      <c r="A42" s="56"/>
      <c r="B42" s="60"/>
      <c r="C42" s="61"/>
      <c r="D42" s="61"/>
      <c r="E42" s="72"/>
      <c r="F42" s="72"/>
      <c r="G42" s="73"/>
      <c r="H42" s="72"/>
      <c r="I42" s="60"/>
      <c r="J42" t="str">
        <f>IF(B42="","",MAX($J$3:J41)+1)</f>
        <v/>
      </c>
    </row>
    <row r="43" spans="1:10" x14ac:dyDescent="0.25">
      <c r="A43" s="64"/>
      <c r="B43" s="67"/>
      <c r="C43" s="68"/>
      <c r="D43" s="68"/>
      <c r="E43" s="75"/>
      <c r="F43" s="75"/>
      <c r="G43" s="76"/>
      <c r="H43" s="75"/>
      <c r="I43" s="67"/>
      <c r="J43" t="str">
        <f>IF(B43="","",MAX($J$3:J42)+1)</f>
        <v/>
      </c>
    </row>
    <row r="44" spans="1:10" x14ac:dyDescent="0.25">
      <c r="A44" s="56"/>
      <c r="B44" s="60"/>
      <c r="C44" s="61"/>
      <c r="D44" s="61"/>
      <c r="E44" s="72"/>
      <c r="F44" s="72"/>
      <c r="G44" s="73"/>
      <c r="H44" s="72"/>
      <c r="I44" s="60"/>
      <c r="J44" t="str">
        <f>IF(B44="","",MAX($J$3:J43)+1)</f>
        <v/>
      </c>
    </row>
    <row r="45" spans="1:10" x14ac:dyDescent="0.25">
      <c r="A45" s="64"/>
      <c r="B45" s="67"/>
      <c r="C45" s="68"/>
      <c r="D45" s="68"/>
      <c r="E45" s="75"/>
      <c r="F45" s="75"/>
      <c r="G45" s="76"/>
      <c r="H45" s="75"/>
      <c r="I45" s="67"/>
      <c r="J45" t="str">
        <f>IF(B45="","",MAX($J$3:J44)+1)</f>
        <v/>
      </c>
    </row>
    <row r="46" spans="1:10" x14ac:dyDescent="0.25">
      <c r="A46" s="56"/>
      <c r="B46" s="60"/>
      <c r="C46" s="61"/>
      <c r="D46" s="61"/>
      <c r="E46" s="72"/>
      <c r="F46" s="72"/>
      <c r="G46" s="73"/>
      <c r="H46" s="72"/>
      <c r="I46" s="60"/>
      <c r="J46" t="str">
        <f>IF(B46="","",MAX($J$3:J45)+1)</f>
        <v/>
      </c>
    </row>
    <row r="47" spans="1:10" x14ac:dyDescent="0.25">
      <c r="A47" s="64"/>
      <c r="B47" s="67"/>
      <c r="C47" s="68"/>
      <c r="D47" s="68"/>
      <c r="E47" s="75"/>
      <c r="F47" s="75"/>
      <c r="G47" s="76"/>
      <c r="H47" s="75"/>
      <c r="I47" s="67"/>
      <c r="J47" t="str">
        <f>IF(B47="","",MAX($J$3:J46)+1)</f>
        <v/>
      </c>
    </row>
    <row r="48" spans="1:10" x14ac:dyDescent="0.25">
      <c r="A48" s="56"/>
      <c r="B48" s="60"/>
      <c r="C48" s="61"/>
      <c r="D48" s="61"/>
      <c r="E48" s="72"/>
      <c r="F48" s="72"/>
      <c r="G48" s="73"/>
      <c r="H48" s="72"/>
      <c r="I48" s="60"/>
      <c r="J48" t="str">
        <f>IF(B48="","",MAX($J$3:J47)+1)</f>
        <v/>
      </c>
    </row>
    <row r="49" spans="1:10" x14ac:dyDescent="0.25">
      <c r="A49" s="64"/>
      <c r="B49" s="67"/>
      <c r="C49" s="68"/>
      <c r="D49" s="68"/>
      <c r="E49" s="75"/>
      <c r="F49" s="75"/>
      <c r="G49" s="76"/>
      <c r="H49" s="75"/>
      <c r="I49" s="67"/>
      <c r="J49" t="str">
        <f>IF(B49="","",MAX($J$3:J48)+1)</f>
        <v/>
      </c>
    </row>
    <row r="50" spans="1:10" x14ac:dyDescent="0.25">
      <c r="A50" s="56"/>
      <c r="B50" s="60"/>
      <c r="C50" s="61"/>
      <c r="D50" s="61"/>
      <c r="E50" s="72"/>
      <c r="F50" s="72"/>
      <c r="G50" s="73"/>
      <c r="H50" s="72"/>
      <c r="I50" s="60"/>
      <c r="J50" t="str">
        <f>IF(B50="","",MAX($J$3:J49)+1)</f>
        <v/>
      </c>
    </row>
    <row r="51" spans="1:10" x14ac:dyDescent="0.25">
      <c r="A51" s="64"/>
      <c r="B51" s="67"/>
      <c r="C51" s="68"/>
      <c r="D51" s="68"/>
      <c r="E51" s="75"/>
      <c r="F51" s="75"/>
      <c r="G51" s="76"/>
      <c r="H51" s="75"/>
      <c r="I51" s="67"/>
      <c r="J51" t="str">
        <f>IF(B51="","",MAX($J$3:J50)+1)</f>
        <v/>
      </c>
    </row>
    <row r="52" spans="1:10" x14ac:dyDescent="0.25">
      <c r="A52" s="56"/>
      <c r="B52" s="60"/>
      <c r="C52" s="61"/>
      <c r="D52" s="61"/>
      <c r="E52" s="72"/>
      <c r="F52" s="72"/>
      <c r="G52" s="73"/>
      <c r="H52" s="72"/>
      <c r="I52" s="60"/>
      <c r="J52" t="str">
        <f>IF(B52="","",MAX($J$3:J51)+1)</f>
        <v/>
      </c>
    </row>
    <row r="53" spans="1:10" x14ac:dyDescent="0.25">
      <c r="A53" s="64"/>
      <c r="B53" s="67"/>
      <c r="C53" s="68"/>
      <c r="D53" s="68"/>
      <c r="E53" s="75"/>
      <c r="F53" s="75"/>
      <c r="G53" s="76"/>
      <c r="H53" s="75"/>
      <c r="I53" s="67"/>
      <c r="J53" t="str">
        <f>IF(B53="","",MAX($J$3:J52)+1)</f>
        <v/>
      </c>
    </row>
  </sheetData>
  <mergeCells count="2">
    <mergeCell ref="A1:I1"/>
    <mergeCell ref="A2:I2"/>
  </mergeCells>
  <dataValidations count="4">
    <dataValidation type="whole" operator="greaterThanOrEqual" allowBlank="1" showErrorMessage="1" errorTitle="Inválido" error="Lead time deve ser ≥ 0" sqref="H4:H1000" xr:uid="{00000000-0002-0000-0400-000000000000}">
      <formula1>0</formula1>
    </dataValidation>
    <dataValidation type="whole" operator="greaterThanOrEqual" allowBlank="1" showErrorMessage="1" errorTitle="Inválido" error="Estoque mínimo deve ser ≥ 0" sqref="E4:E1000" xr:uid="{00000000-0002-0000-0400-000001000000}">
      <formula1>0</formula1>
    </dataValidation>
    <dataValidation type="decimal" operator="greaterThanOrEqual" allowBlank="1" showErrorMessage="1" errorTitle="Inválido" error="Custo deve ser ≥ 0" sqref="G4:G1000" xr:uid="{00000000-0002-0000-0400-000002000000}">
      <formula1>0</formula1>
    </dataValidation>
    <dataValidation type="whole" operator="greaterThanOrEqual" allowBlank="1" showErrorMessage="1" errorTitle="Inválido" error="Estoque inicial deve ser ≥ 0" sqref="F4:F1000" xr:uid="{00000000-0002-0000-0400-000003000000}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showGridLines="0" workbookViewId="0">
      <pane ySplit="3" topLeftCell="A4" activePane="bottomLeft" state="frozen"/>
      <selection pane="bottomLeft" activeCell="B15" sqref="B15"/>
    </sheetView>
  </sheetViews>
  <sheetFormatPr defaultRowHeight="15" x14ac:dyDescent="0.25"/>
  <cols>
    <col min="1" max="1" width="6" customWidth="1"/>
    <col min="2" max="2" width="22" customWidth="1"/>
    <col min="3" max="3" width="18" customWidth="1"/>
    <col min="4" max="4" width="28" customWidth="1"/>
    <col min="5" max="5" width="18" customWidth="1"/>
    <col min="6" max="6" width="10" customWidth="1"/>
    <col min="7" max="7" width="6" hidden="1" customWidth="1"/>
  </cols>
  <sheetData>
    <row r="1" spans="1:7" ht="50.1" customHeight="1" x14ac:dyDescent="0.25">
      <c r="A1" s="116" t="s">
        <v>168</v>
      </c>
      <c r="B1" s="97"/>
      <c r="C1" s="97"/>
      <c r="D1" s="97"/>
      <c r="E1" s="97"/>
      <c r="F1" s="97"/>
    </row>
    <row r="2" spans="1:7" ht="21.95" customHeight="1" x14ac:dyDescent="0.25">
      <c r="A2" s="117" t="s">
        <v>169</v>
      </c>
      <c r="B2" s="97"/>
      <c r="C2" s="97"/>
      <c r="D2" s="97"/>
      <c r="E2" s="97"/>
      <c r="F2" s="97"/>
    </row>
    <row r="3" spans="1:7" ht="36" customHeight="1" x14ac:dyDescent="0.25">
      <c r="A3" s="30" t="s">
        <v>106</v>
      </c>
      <c r="B3" s="30" t="s">
        <v>170</v>
      </c>
      <c r="C3" s="30" t="s">
        <v>76</v>
      </c>
      <c r="D3" s="30" t="s">
        <v>171</v>
      </c>
      <c r="E3" s="30" t="s">
        <v>172</v>
      </c>
      <c r="F3" s="30" t="s">
        <v>173</v>
      </c>
      <c r="G3">
        <v>0</v>
      </c>
    </row>
    <row r="4" spans="1:7" x14ac:dyDescent="0.25">
      <c r="A4" s="56">
        <v>1</v>
      </c>
      <c r="B4" s="5" t="s">
        <v>79</v>
      </c>
      <c r="C4" s="61" t="s">
        <v>114</v>
      </c>
      <c r="D4" s="78" t="s">
        <v>174</v>
      </c>
      <c r="E4" s="61" t="s">
        <v>175</v>
      </c>
      <c r="F4" s="79" t="s">
        <v>176</v>
      </c>
      <c r="G4">
        <f>IF(F4="Sim",MAX($G$3:G3)+1,"")</f>
        <v>1</v>
      </c>
    </row>
    <row r="5" spans="1:7" x14ac:dyDescent="0.25">
      <c r="A5" s="64">
        <v>2</v>
      </c>
      <c r="B5" s="13" t="s">
        <v>80</v>
      </c>
      <c r="C5" s="68" t="s">
        <v>114</v>
      </c>
      <c r="D5" s="80" t="s">
        <v>177</v>
      </c>
      <c r="E5" s="68" t="s">
        <v>178</v>
      </c>
      <c r="F5" s="81" t="s">
        <v>176</v>
      </c>
      <c r="G5">
        <f>IF(F5="Sim",MAX($G$3:G4)+1,"")</f>
        <v>2</v>
      </c>
    </row>
    <row r="6" spans="1:7" x14ac:dyDescent="0.25">
      <c r="A6" s="56">
        <v>3</v>
      </c>
      <c r="B6" s="5" t="s">
        <v>81</v>
      </c>
      <c r="C6" s="61" t="s">
        <v>114</v>
      </c>
      <c r="D6" s="78" t="s">
        <v>179</v>
      </c>
      <c r="E6" s="61" t="s">
        <v>180</v>
      </c>
      <c r="F6" s="79" t="s">
        <v>176</v>
      </c>
      <c r="G6">
        <f>IF(F6="Sim",MAX($G$3:G5)+1,"")</f>
        <v>3</v>
      </c>
    </row>
    <row r="7" spans="1:7" x14ac:dyDescent="0.25">
      <c r="A7" s="64">
        <v>4</v>
      </c>
      <c r="B7" s="13" t="s">
        <v>82</v>
      </c>
      <c r="C7" s="68" t="s">
        <v>114</v>
      </c>
      <c r="D7" s="80" t="s">
        <v>181</v>
      </c>
      <c r="E7" s="68" t="s">
        <v>182</v>
      </c>
      <c r="F7" s="81" t="s">
        <v>176</v>
      </c>
      <c r="G7">
        <f>IF(F7="Sim",MAX($G$3:G6)+1,"")</f>
        <v>4</v>
      </c>
    </row>
    <row r="8" spans="1:7" x14ac:dyDescent="0.25">
      <c r="A8" s="56">
        <v>5</v>
      </c>
      <c r="B8" s="5" t="s">
        <v>83</v>
      </c>
      <c r="C8" s="61" t="s">
        <v>114</v>
      </c>
      <c r="D8" s="78" t="s">
        <v>183</v>
      </c>
      <c r="E8" s="61" t="s">
        <v>184</v>
      </c>
      <c r="F8" s="79" t="s">
        <v>185</v>
      </c>
      <c r="G8" t="str">
        <f>IF(F8="Sim",MAX($G$3:G7)+1,"")</f>
        <v/>
      </c>
    </row>
    <row r="9" spans="1:7" x14ac:dyDescent="0.25">
      <c r="A9" s="64">
        <v>6</v>
      </c>
      <c r="B9" s="13" t="s">
        <v>84</v>
      </c>
      <c r="C9" s="68" t="s">
        <v>114</v>
      </c>
      <c r="D9" s="80" t="s">
        <v>186</v>
      </c>
      <c r="E9" s="68" t="s">
        <v>187</v>
      </c>
      <c r="F9" s="81" t="s">
        <v>176</v>
      </c>
      <c r="G9">
        <f>IF(F9="Sim",MAX($G$3:G8)+1,"")</f>
        <v>5</v>
      </c>
    </row>
    <row r="10" spans="1:7" x14ac:dyDescent="0.25">
      <c r="A10" s="56">
        <v>7</v>
      </c>
      <c r="B10" s="5" t="s">
        <v>85</v>
      </c>
      <c r="C10" s="61" t="s">
        <v>114</v>
      </c>
      <c r="D10" s="78" t="s">
        <v>188</v>
      </c>
      <c r="E10" s="61" t="s">
        <v>189</v>
      </c>
      <c r="F10" s="79" t="s">
        <v>176</v>
      </c>
      <c r="G10">
        <f>IF(F10="Sim",MAX($G$3:G9)+1,"")</f>
        <v>6</v>
      </c>
    </row>
    <row r="11" spans="1:7" x14ac:dyDescent="0.25">
      <c r="A11" s="64">
        <v>8</v>
      </c>
      <c r="B11" s="13" t="s">
        <v>86</v>
      </c>
      <c r="C11" s="68" t="s">
        <v>122</v>
      </c>
      <c r="D11" s="80" t="s">
        <v>190</v>
      </c>
      <c r="E11" s="68" t="s">
        <v>191</v>
      </c>
      <c r="F11" s="81" t="s">
        <v>176</v>
      </c>
      <c r="G11">
        <f>IF(F11="Sim",MAX($G$3:G10)+1,"")</f>
        <v>7</v>
      </c>
    </row>
    <row r="12" spans="1:7" x14ac:dyDescent="0.25">
      <c r="A12" s="56">
        <v>9</v>
      </c>
      <c r="B12" s="5" t="s">
        <v>87</v>
      </c>
      <c r="C12" s="61" t="s">
        <v>114</v>
      </c>
      <c r="D12" s="78" t="s">
        <v>192</v>
      </c>
      <c r="E12" s="61" t="s">
        <v>193</v>
      </c>
      <c r="F12" s="79" t="s">
        <v>176</v>
      </c>
      <c r="G12">
        <f>IF(F12="Sim",MAX($G$3:G11)+1,"")</f>
        <v>8</v>
      </c>
    </row>
    <row r="13" spans="1:7" x14ac:dyDescent="0.25">
      <c r="A13" s="64">
        <v>10</v>
      </c>
      <c r="B13" s="13" t="s">
        <v>88</v>
      </c>
      <c r="C13" s="68" t="s">
        <v>124</v>
      </c>
      <c r="D13" s="80" t="s">
        <v>194</v>
      </c>
      <c r="E13" s="68" t="s">
        <v>195</v>
      </c>
      <c r="F13" s="81" t="s">
        <v>176</v>
      </c>
      <c r="G13">
        <f>IF(F13="Sim",MAX($G$3:G12)+1,"")</f>
        <v>9</v>
      </c>
    </row>
    <row r="14" spans="1:7" x14ac:dyDescent="0.25">
      <c r="A14" s="56">
        <v>11</v>
      </c>
      <c r="B14" s="5" t="s">
        <v>89</v>
      </c>
      <c r="C14" s="61" t="s">
        <v>114</v>
      </c>
      <c r="D14" s="78" t="s">
        <v>196</v>
      </c>
      <c r="E14" s="61" t="s">
        <v>197</v>
      </c>
      <c r="F14" s="79" t="s">
        <v>176</v>
      </c>
      <c r="G14">
        <f>IF(F14="Sim",MAX($G$3:G13)+1,"")</f>
        <v>10</v>
      </c>
    </row>
    <row r="15" spans="1:7" x14ac:dyDescent="0.25">
      <c r="A15" s="64">
        <v>12</v>
      </c>
      <c r="B15" s="13" t="s">
        <v>90</v>
      </c>
      <c r="C15" s="68" t="s">
        <v>114</v>
      </c>
      <c r="D15" s="80" t="s">
        <v>198</v>
      </c>
      <c r="E15" s="68" t="s">
        <v>199</v>
      </c>
      <c r="F15" s="81" t="s">
        <v>176</v>
      </c>
      <c r="G15">
        <f>IF(F15="Sim",MAX($G$3:G14)+1,"")</f>
        <v>11</v>
      </c>
    </row>
    <row r="16" spans="1:7" x14ac:dyDescent="0.25">
      <c r="A16" s="56">
        <v>13</v>
      </c>
      <c r="B16" s="5" t="s">
        <v>91</v>
      </c>
      <c r="C16" s="61" t="s">
        <v>114</v>
      </c>
      <c r="D16" s="78" t="s">
        <v>200</v>
      </c>
      <c r="E16" s="61" t="s">
        <v>201</v>
      </c>
      <c r="F16" s="79" t="s">
        <v>176</v>
      </c>
      <c r="G16">
        <f>IF(F16="Sim",MAX($G$3:G15)+1,"")</f>
        <v>12</v>
      </c>
    </row>
    <row r="17" spans="1:7" x14ac:dyDescent="0.25">
      <c r="A17" s="64">
        <v>14</v>
      </c>
      <c r="B17" s="13" t="s">
        <v>92</v>
      </c>
      <c r="C17" s="68" t="s">
        <v>122</v>
      </c>
      <c r="D17" s="80" t="s">
        <v>202</v>
      </c>
      <c r="E17" s="68" t="s">
        <v>203</v>
      </c>
      <c r="F17" s="81" t="s">
        <v>176</v>
      </c>
      <c r="G17">
        <f>IF(F17="Sim",MAX($G$3:G16)+1,"")</f>
        <v>13</v>
      </c>
    </row>
    <row r="18" spans="1:7" x14ac:dyDescent="0.25">
      <c r="A18" s="56"/>
      <c r="B18" s="60"/>
      <c r="C18" s="61"/>
      <c r="D18" s="78"/>
      <c r="E18" s="61"/>
      <c r="F18" s="61"/>
      <c r="G18" t="str">
        <f>IF(F18="Sim",MAX($G$3:G17)+1,"")</f>
        <v/>
      </c>
    </row>
    <row r="19" spans="1:7" x14ac:dyDescent="0.25">
      <c r="A19" s="64"/>
      <c r="B19" s="67"/>
      <c r="C19" s="68"/>
      <c r="D19" s="80"/>
      <c r="E19" s="68"/>
      <c r="F19" s="68"/>
      <c r="G19" t="str">
        <f>IF(F19="Sim",MAX($G$3:G18)+1,"")</f>
        <v/>
      </c>
    </row>
    <row r="20" spans="1:7" x14ac:dyDescent="0.25">
      <c r="A20" s="56"/>
      <c r="B20" s="60"/>
      <c r="C20" s="61"/>
      <c r="D20" s="78"/>
      <c r="E20" s="61"/>
      <c r="F20" s="61"/>
      <c r="G20" t="str">
        <f>IF(F20="Sim",MAX($G$3:G19)+1,"")</f>
        <v/>
      </c>
    </row>
    <row r="21" spans="1:7" x14ac:dyDescent="0.25">
      <c r="A21" s="64"/>
      <c r="B21" s="67"/>
      <c r="C21" s="68"/>
      <c r="D21" s="80"/>
      <c r="E21" s="68"/>
      <c r="F21" s="68"/>
      <c r="G21" t="str">
        <f>IF(F21="Sim",MAX($G$3:G20)+1,"")</f>
        <v/>
      </c>
    </row>
    <row r="22" spans="1:7" x14ac:dyDescent="0.25">
      <c r="A22" s="56"/>
      <c r="B22" s="60"/>
      <c r="C22" s="61"/>
      <c r="D22" s="78"/>
      <c r="E22" s="61"/>
      <c r="F22" s="61"/>
      <c r="G22" t="str">
        <f>IF(F22="Sim",MAX($G$3:G21)+1,"")</f>
        <v/>
      </c>
    </row>
    <row r="23" spans="1:7" x14ac:dyDescent="0.25">
      <c r="A23" s="64"/>
      <c r="B23" s="67"/>
      <c r="C23" s="68"/>
      <c r="D23" s="80"/>
      <c r="E23" s="68"/>
      <c r="F23" s="68"/>
      <c r="G23" t="str">
        <f>IF(F23="Sim",MAX($G$3:G22)+1,"")</f>
        <v/>
      </c>
    </row>
    <row r="24" spans="1:7" x14ac:dyDescent="0.25">
      <c r="A24" s="56"/>
      <c r="B24" s="60"/>
      <c r="C24" s="61"/>
      <c r="D24" s="78"/>
      <c r="E24" s="61"/>
      <c r="F24" s="61"/>
      <c r="G24" t="str">
        <f>IF(F24="Sim",MAX($G$3:G23)+1,"")</f>
        <v/>
      </c>
    </row>
    <row r="25" spans="1:7" x14ac:dyDescent="0.25">
      <c r="A25" s="64"/>
      <c r="B25" s="67"/>
      <c r="C25" s="68"/>
      <c r="D25" s="80"/>
      <c r="E25" s="68"/>
      <c r="F25" s="68"/>
      <c r="G25" t="str">
        <f>IF(F25="Sim",MAX($G$3:G24)+1,"")</f>
        <v/>
      </c>
    </row>
    <row r="26" spans="1:7" x14ac:dyDescent="0.25">
      <c r="A26" s="56"/>
      <c r="B26" s="60"/>
      <c r="C26" s="61"/>
      <c r="D26" s="78"/>
      <c r="E26" s="61"/>
      <c r="F26" s="61"/>
      <c r="G26" t="str">
        <f>IF(F26="Sim",MAX($G$3:G25)+1,"")</f>
        <v/>
      </c>
    </row>
    <row r="27" spans="1:7" x14ac:dyDescent="0.25">
      <c r="A27" s="64"/>
      <c r="B27" s="67"/>
      <c r="C27" s="68"/>
      <c r="D27" s="80"/>
      <c r="E27" s="68"/>
      <c r="F27" s="68"/>
      <c r="G27" t="str">
        <f>IF(F27="Sim",MAX($G$3:G26)+1,"")</f>
        <v/>
      </c>
    </row>
    <row r="28" spans="1:7" x14ac:dyDescent="0.25">
      <c r="A28" s="56"/>
      <c r="B28" s="60"/>
      <c r="C28" s="61"/>
      <c r="D28" s="78"/>
      <c r="E28" s="61"/>
      <c r="F28" s="61"/>
      <c r="G28" t="str">
        <f>IF(F28="Sim",MAX($G$3:G27)+1,"")</f>
        <v/>
      </c>
    </row>
    <row r="29" spans="1:7" x14ac:dyDescent="0.25">
      <c r="A29" s="64"/>
      <c r="B29" s="67"/>
      <c r="C29" s="68"/>
      <c r="D29" s="80"/>
      <c r="E29" s="68"/>
      <c r="F29" s="68"/>
      <c r="G29" t="str">
        <f>IF(F29="Sim",MAX($G$3:G28)+1,"")</f>
        <v/>
      </c>
    </row>
    <row r="30" spans="1:7" x14ac:dyDescent="0.25">
      <c r="A30" s="56"/>
      <c r="B30" s="60"/>
      <c r="C30" s="61"/>
      <c r="D30" s="78"/>
      <c r="E30" s="61"/>
      <c r="F30" s="61"/>
      <c r="G30" t="str">
        <f>IF(F30="Sim",MAX($G$3:G29)+1,"")</f>
        <v/>
      </c>
    </row>
    <row r="31" spans="1:7" x14ac:dyDescent="0.25">
      <c r="A31" s="64"/>
      <c r="B31" s="67"/>
      <c r="C31" s="68"/>
      <c r="D31" s="80"/>
      <c r="E31" s="68"/>
      <c r="F31" s="68"/>
      <c r="G31" t="str">
        <f>IF(F31="Sim",MAX($G$3:G30)+1,"")</f>
        <v/>
      </c>
    </row>
    <row r="32" spans="1:7" x14ac:dyDescent="0.25">
      <c r="A32" s="56"/>
      <c r="B32" s="60"/>
      <c r="C32" s="61"/>
      <c r="D32" s="78"/>
      <c r="E32" s="61"/>
      <c r="F32" s="61"/>
      <c r="G32" t="str">
        <f>IF(F32="Sim",MAX($G$3:G31)+1,"")</f>
        <v/>
      </c>
    </row>
    <row r="33" spans="1:7" x14ac:dyDescent="0.25">
      <c r="A33" s="64"/>
      <c r="B33" s="67"/>
      <c r="C33" s="68"/>
      <c r="D33" s="80"/>
      <c r="E33" s="68"/>
      <c r="F33" s="68"/>
      <c r="G33" t="str">
        <f>IF(F33="Sim",MAX($G$3:G32)+1,"")</f>
        <v/>
      </c>
    </row>
    <row r="34" spans="1:7" x14ac:dyDescent="0.25">
      <c r="A34" s="56"/>
      <c r="B34" s="60"/>
      <c r="C34" s="61"/>
      <c r="D34" s="78"/>
      <c r="E34" s="61"/>
      <c r="F34" s="61"/>
      <c r="G34" t="str">
        <f>IF(F34="Sim",MAX($G$3:G33)+1,"")</f>
        <v/>
      </c>
    </row>
    <row r="35" spans="1:7" x14ac:dyDescent="0.25">
      <c r="A35" s="64"/>
      <c r="B35" s="67"/>
      <c r="C35" s="68"/>
      <c r="D35" s="80"/>
      <c r="E35" s="68"/>
      <c r="F35" s="68"/>
      <c r="G35" t="str">
        <f>IF(F35="Sim",MAX($G$3:G34)+1,"")</f>
        <v/>
      </c>
    </row>
    <row r="36" spans="1:7" x14ac:dyDescent="0.25">
      <c r="A36" s="56"/>
      <c r="B36" s="60"/>
      <c r="C36" s="61"/>
      <c r="D36" s="78"/>
      <c r="E36" s="61"/>
      <c r="F36" s="61"/>
      <c r="G36" t="str">
        <f>IF(F36="Sim",MAX($G$3:G35)+1,"")</f>
        <v/>
      </c>
    </row>
    <row r="37" spans="1:7" x14ac:dyDescent="0.25">
      <c r="A37" s="64"/>
      <c r="B37" s="67"/>
      <c r="C37" s="68"/>
      <c r="D37" s="80"/>
      <c r="E37" s="68"/>
      <c r="F37" s="68"/>
      <c r="G37" t="str">
        <f>IF(F37="Sim",MAX($G$3:G36)+1,"")</f>
        <v/>
      </c>
    </row>
    <row r="38" spans="1:7" x14ac:dyDescent="0.25">
      <c r="A38" s="56"/>
      <c r="B38" s="60"/>
      <c r="C38" s="61"/>
      <c r="D38" s="78"/>
      <c r="E38" s="61"/>
      <c r="F38" s="61"/>
      <c r="G38" t="str">
        <f>IF(F38="Sim",MAX($G$3:G37)+1,"")</f>
        <v/>
      </c>
    </row>
    <row r="39" spans="1:7" x14ac:dyDescent="0.25">
      <c r="A39" s="64"/>
      <c r="B39" s="67"/>
      <c r="C39" s="68"/>
      <c r="D39" s="80"/>
      <c r="E39" s="68"/>
      <c r="F39" s="68"/>
      <c r="G39" t="str">
        <f>IF(F39="Sim",MAX($G$3:G38)+1,"")</f>
        <v/>
      </c>
    </row>
    <row r="40" spans="1:7" x14ac:dyDescent="0.25">
      <c r="A40" s="56"/>
      <c r="B40" s="60"/>
      <c r="C40" s="61"/>
      <c r="D40" s="78"/>
      <c r="E40" s="61"/>
      <c r="F40" s="61"/>
      <c r="G40" t="str">
        <f>IF(F40="Sim",MAX($G$3:G39)+1,"")</f>
        <v/>
      </c>
    </row>
    <row r="41" spans="1:7" x14ac:dyDescent="0.25">
      <c r="A41" s="64"/>
      <c r="B41" s="67"/>
      <c r="C41" s="68"/>
      <c r="D41" s="80"/>
      <c r="E41" s="68"/>
      <c r="F41" s="68"/>
      <c r="G41" t="str">
        <f>IF(F41="Sim",MAX($G$3:G40)+1,"")</f>
        <v/>
      </c>
    </row>
    <row r="42" spans="1:7" x14ac:dyDescent="0.25">
      <c r="A42" s="56"/>
      <c r="B42" s="60"/>
      <c r="C42" s="61"/>
      <c r="D42" s="78"/>
      <c r="E42" s="61"/>
      <c r="F42" s="61"/>
      <c r="G42" t="str">
        <f>IF(F42="Sim",MAX($G$3:G41)+1,"")</f>
        <v/>
      </c>
    </row>
    <row r="43" spans="1:7" x14ac:dyDescent="0.25">
      <c r="A43" s="64"/>
      <c r="B43" s="67"/>
      <c r="C43" s="68"/>
      <c r="D43" s="80"/>
      <c r="E43" s="68"/>
      <c r="F43" s="68"/>
      <c r="G43" t="str">
        <f>IF(F43="Sim",MAX($G$3:G42)+1,"")</f>
        <v/>
      </c>
    </row>
    <row r="44" spans="1:7" x14ac:dyDescent="0.25">
      <c r="A44" s="56"/>
      <c r="B44" s="60"/>
      <c r="C44" s="61"/>
      <c r="D44" s="78"/>
      <c r="E44" s="61"/>
      <c r="F44" s="61"/>
      <c r="G44" t="str">
        <f>IF(F44="Sim",MAX($G$3:G43)+1,"")</f>
        <v/>
      </c>
    </row>
    <row r="45" spans="1:7" x14ac:dyDescent="0.25">
      <c r="A45" s="64"/>
      <c r="B45" s="67"/>
      <c r="C45" s="68"/>
      <c r="D45" s="80"/>
      <c r="E45" s="68"/>
      <c r="F45" s="68"/>
      <c r="G45" t="str">
        <f>IF(F45="Sim",MAX($G$3:G44)+1,"")</f>
        <v/>
      </c>
    </row>
    <row r="46" spans="1:7" x14ac:dyDescent="0.25">
      <c r="A46" s="56"/>
      <c r="B46" s="60"/>
      <c r="C46" s="61"/>
      <c r="D46" s="78"/>
      <c r="E46" s="61"/>
      <c r="F46" s="61"/>
      <c r="G46" t="str">
        <f>IF(F46="Sim",MAX($G$3:G45)+1,"")</f>
        <v/>
      </c>
    </row>
    <row r="47" spans="1:7" x14ac:dyDescent="0.25">
      <c r="A47" s="64"/>
      <c r="B47" s="67"/>
      <c r="C47" s="68"/>
      <c r="D47" s="80"/>
      <c r="E47" s="68"/>
      <c r="F47" s="68"/>
      <c r="G47" t="str">
        <f>IF(F47="Sim",MAX($G$3:G46)+1,"")</f>
        <v/>
      </c>
    </row>
    <row r="48" spans="1:7" x14ac:dyDescent="0.25">
      <c r="A48" s="56"/>
      <c r="B48" s="60"/>
      <c r="C48" s="61"/>
      <c r="D48" s="78"/>
      <c r="E48" s="61"/>
      <c r="F48" s="61"/>
      <c r="G48" t="str">
        <f>IF(F48="Sim",MAX($G$3:G47)+1,"")</f>
        <v/>
      </c>
    </row>
    <row r="49" spans="1:7" x14ac:dyDescent="0.25">
      <c r="A49" s="64"/>
      <c r="B49" s="67"/>
      <c r="C49" s="68"/>
      <c r="D49" s="80"/>
      <c r="E49" s="68"/>
      <c r="F49" s="68"/>
      <c r="G49" t="str">
        <f>IF(F49="Sim",MAX($G$3:G48)+1,"")</f>
        <v/>
      </c>
    </row>
    <row r="50" spans="1:7" x14ac:dyDescent="0.25">
      <c r="A50" s="56"/>
      <c r="B50" s="60"/>
      <c r="C50" s="61"/>
      <c r="D50" s="78"/>
      <c r="E50" s="61"/>
      <c r="F50" s="61"/>
      <c r="G50" t="str">
        <f>IF(F50="Sim",MAX($G$3:G49)+1,"")</f>
        <v/>
      </c>
    </row>
    <row r="51" spans="1:7" x14ac:dyDescent="0.25">
      <c r="A51" s="64"/>
      <c r="B51" s="67"/>
      <c r="C51" s="68"/>
      <c r="D51" s="80"/>
      <c r="E51" s="68"/>
      <c r="F51" s="68"/>
      <c r="G51" t="str">
        <f>IF(F51="Sim",MAX($G$3:G50)+1,"")</f>
        <v/>
      </c>
    </row>
    <row r="52" spans="1:7" x14ac:dyDescent="0.25">
      <c r="A52" s="56"/>
      <c r="B52" s="60"/>
      <c r="C52" s="61"/>
      <c r="D52" s="78"/>
      <c r="E52" s="61"/>
      <c r="F52" s="61"/>
      <c r="G52" t="str">
        <f>IF(F52="Sim",MAX($G$3:G51)+1,"")</f>
        <v/>
      </c>
    </row>
    <row r="53" spans="1:7" x14ac:dyDescent="0.25">
      <c r="A53" s="64"/>
      <c r="B53" s="67"/>
      <c r="C53" s="68"/>
      <c r="D53" s="80"/>
      <c r="E53" s="68"/>
      <c r="F53" s="68"/>
      <c r="G53" t="str">
        <f>IF(F53="Sim",MAX($G$3:G52)+1,"")</f>
        <v/>
      </c>
    </row>
  </sheetData>
  <mergeCells count="2">
    <mergeCell ref="A2:F2"/>
    <mergeCell ref="A1:F1"/>
  </mergeCells>
  <dataValidations count="1">
    <dataValidation type="list" allowBlank="1" sqref="F4:F1000" xr:uid="{00000000-0002-0000-0500-000000000000}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workbookViewId="0"/>
  </sheetViews>
  <sheetFormatPr defaultRowHeight="15" x14ac:dyDescent="0.25"/>
  <cols>
    <col min="1" max="1" width="25" customWidth="1"/>
    <col min="2" max="2" width="22" customWidth="1"/>
    <col min="3" max="3" width="18" customWidth="1"/>
    <col min="4" max="4" width="12" customWidth="1"/>
  </cols>
  <sheetData>
    <row r="1" spans="1:4" x14ac:dyDescent="0.25">
      <c r="A1" s="82" t="s">
        <v>56</v>
      </c>
      <c r="B1" s="82" t="s">
        <v>75</v>
      </c>
      <c r="C1" s="82" t="s">
        <v>76</v>
      </c>
      <c r="D1" s="82" t="s">
        <v>204</v>
      </c>
    </row>
    <row r="2" spans="1:4" x14ac:dyDescent="0.25">
      <c r="A2" t="str">
        <f>IFERROR(INDEX('Cad. Materiais'!$B$4:$B$53,MATCH(1,'Cad. Materiais'!$J$4:$J$53,0)),"")</f>
        <v>Resma de papel A4</v>
      </c>
      <c r="B2" t="str">
        <f>IFERROR(INDEX('Cad. Colaboradores'!$B$4:$B$53,MATCH(1,'Cad. Colaboradores'!$G$4:$G$53,0)),"")</f>
        <v>Amanda Silva</v>
      </c>
      <c r="C2" t="s">
        <v>114</v>
      </c>
      <c r="D2" t="s">
        <v>121</v>
      </c>
    </row>
    <row r="3" spans="1:4" x14ac:dyDescent="0.25">
      <c r="A3" t="str">
        <f>IFERROR(INDEX('Cad. Materiais'!$B$4:$B$53,MATCH(2,'Cad. Materiais'!$J$4:$J$53,0)),"")</f>
        <v>Envelope Pardo</v>
      </c>
      <c r="B3" t="str">
        <f>IFERROR(INDEX('Cad. Colaboradores'!$B$4:$B$53,MATCH(2,'Cad. Colaboradores'!$G$4:$G$53,0)),"")</f>
        <v>André Souza</v>
      </c>
      <c r="C3" t="s">
        <v>122</v>
      </c>
      <c r="D3" t="s">
        <v>113</v>
      </c>
    </row>
    <row r="4" spans="1:4" x14ac:dyDescent="0.25">
      <c r="A4" t="str">
        <f>IFERROR(INDEX('Cad. Materiais'!$B$4:$B$53,MATCH(3,'Cad. Materiais'!$J$4:$J$53,0)),"")</f>
        <v>Clips</v>
      </c>
      <c r="B4" t="str">
        <f>IFERROR(INDEX('Cad. Colaboradores'!$B$4:$B$53,MATCH(3,'Cad. Colaboradores'!$G$4:$G$53,0)),"")</f>
        <v>Ariane Costa</v>
      </c>
      <c r="C4" t="s">
        <v>156</v>
      </c>
    </row>
    <row r="5" spans="1:4" x14ac:dyDescent="0.25">
      <c r="A5" t="str">
        <f>IFERROR(INDEX('Cad. Materiais'!$B$4:$B$53,MATCH(4,'Cad. Materiais'!$J$4:$J$53,0)),"")</f>
        <v>Envelope Janelado</v>
      </c>
      <c r="B5" t="str">
        <f>IFERROR(INDEX('Cad. Colaboradores'!$B$4:$B$53,MATCH(4,'Cad. Colaboradores'!$G$4:$G$53,0)),"")</f>
        <v>Beatriz Lima</v>
      </c>
      <c r="C5" t="s">
        <v>153</v>
      </c>
    </row>
    <row r="6" spans="1:4" x14ac:dyDescent="0.25">
      <c r="A6" t="str">
        <f>IFERROR(INDEX('Cad. Materiais'!$B$4:$B$53,MATCH(5,'Cad. Materiais'!$J$4:$J$53,0)),"")</f>
        <v>Post-IT</v>
      </c>
      <c r="B6" t="str">
        <f>IFERROR(INDEX('Cad. Colaboradores'!$B$4:$B$53,MATCH(5,'Cad. Colaboradores'!$G$4:$G$53,0)),"")</f>
        <v>Érica Felipe</v>
      </c>
      <c r="C6" t="s">
        <v>124</v>
      </c>
    </row>
    <row r="7" spans="1:4" x14ac:dyDescent="0.25">
      <c r="A7" t="str">
        <f>IFERROR(INDEX('Cad. Materiais'!$B$4:$B$53,MATCH(6,'Cad. Materiais'!$J$4:$J$53,0)),"")</f>
        <v>Marcador de texto</v>
      </c>
      <c r="B7" t="str">
        <f>IFERROR(INDEX('Cad. Colaboradores'!$B$4:$B$53,MATCH(6,'Cad. Colaboradores'!$G$4:$G$53,0)),"")</f>
        <v>Larissa Mendes</v>
      </c>
      <c r="C7" t="s">
        <v>205</v>
      </c>
    </row>
    <row r="8" spans="1:4" x14ac:dyDescent="0.25">
      <c r="A8" t="str">
        <f>IFERROR(INDEX('Cad. Materiais'!$B$4:$B$53,MATCH(7,'Cad. Materiais'!$J$4:$J$53,0)),"")</f>
        <v>Caneta Azul</v>
      </c>
      <c r="B8" t="str">
        <f>IFERROR(INDEX('Cad. Colaboradores'!$B$4:$B$53,MATCH(7,'Cad. Colaboradores'!$G$4:$G$53,0)),"")</f>
        <v>Laura Ribeiro</v>
      </c>
      <c r="C8" t="s">
        <v>206</v>
      </c>
    </row>
    <row r="9" spans="1:4" x14ac:dyDescent="0.25">
      <c r="A9" t="str">
        <f>IFERROR(INDEX('Cad. Materiais'!$B$4:$B$53,MATCH(8,'Cad. Materiais'!$J$4:$J$53,0)),"")</f>
        <v>Cola</v>
      </c>
      <c r="B9" t="str">
        <f>IFERROR(INDEX('Cad. Colaboradores'!$B$4:$B$53,MATCH(8,'Cad. Colaboradores'!$G$4:$G$53,0)),"")</f>
        <v>Liliana Santos</v>
      </c>
    </row>
    <row r="10" spans="1:4" x14ac:dyDescent="0.25">
      <c r="A10" t="str">
        <f>IFERROR(INDEX('Cad. Materiais'!$B$4:$B$53,MATCH(9,'Cad. Materiais'!$J$4:$J$53,0)),"")</f>
        <v>Grampo normal</v>
      </c>
      <c r="B10" t="str">
        <f>IFERROR(INDEX('Cad. Colaboradores'!$B$4:$B$53,MATCH(9,'Cad. Colaboradores'!$G$4:$G$53,0)),"")</f>
        <v>Lucas Pereira</v>
      </c>
    </row>
    <row r="11" spans="1:4" x14ac:dyDescent="0.25">
      <c r="A11" t="str">
        <f>IFERROR(INDEX('Cad. Materiais'!$B$4:$B$53,MATCH(10,'Cad. Materiais'!$J$4:$J$53,0)),"")</f>
        <v>Grampo 23/10</v>
      </c>
      <c r="B11" t="str">
        <f>IFERROR(INDEX('Cad. Colaboradores'!$B$4:$B$53,MATCH(10,'Cad. Colaboradores'!$G$4:$G$53,0)),"")</f>
        <v>Matheus Alves</v>
      </c>
    </row>
    <row r="12" spans="1:4" x14ac:dyDescent="0.25">
      <c r="A12" t="str">
        <f>IFERROR(INDEX('Cad. Materiais'!$B$4:$B$53,MATCH(11,'Cad. Materiais'!$J$4:$J$53,0)),"")</f>
        <v>Elástico</v>
      </c>
      <c r="B12" t="str">
        <f>IFERROR(INDEX('Cad. Colaboradores'!$B$4:$B$53,MATCH(11,'Cad. Colaboradores'!$G$4:$G$53,0)),"")</f>
        <v>Pedro Cardoso</v>
      </c>
    </row>
    <row r="13" spans="1:4" x14ac:dyDescent="0.25">
      <c r="A13" t="str">
        <f>IFERROR(INDEX('Cad. Materiais'!$B$4:$B$53,MATCH(12,'Cad. Materiais'!$J$4:$J$53,0)),"")</f>
        <v>Durex grande</v>
      </c>
      <c r="B13" t="str">
        <f>IFERROR(INDEX('Cad. Colaboradores'!$B$4:$B$53,MATCH(12,'Cad. Colaboradores'!$G$4:$G$53,0)),"")</f>
        <v>Ronaldo Martins</v>
      </c>
    </row>
    <row r="14" spans="1:4" x14ac:dyDescent="0.25">
      <c r="A14" t="str">
        <f>IFERROR(INDEX('Cad. Materiais'!$B$4:$B$53,MATCH(13,'Cad. Materiais'!$J$4:$J$53,0)),"")</f>
        <v>Durex pequeno</v>
      </c>
      <c r="B14" t="str">
        <f>IFERROR(INDEX('Cad. Colaboradores'!$B$4:$B$53,MATCH(13,'Cad. Colaboradores'!$G$4:$G$53,0)),"")</f>
        <v>Ronan Oliveira</v>
      </c>
    </row>
    <row r="15" spans="1:4" x14ac:dyDescent="0.25">
      <c r="A15" t="str">
        <f>IFERROR(INDEX('Cad. Materiais'!$B$4:$B$53,MATCH(14,'Cad. Materiais'!$J$4:$J$53,0)),"")</f>
        <v>Fita isolante</v>
      </c>
      <c r="B15" t="str">
        <f>IFERROR(INDEX('Cad. Colaboradores'!$B$4:$B$53,MATCH(14,'Cad. Colaboradores'!$G$4:$G$53,0)),"")</f>
        <v/>
      </c>
    </row>
    <row r="16" spans="1:4" x14ac:dyDescent="0.25">
      <c r="A16" t="str">
        <f>IFERROR(INDEX('Cad. Materiais'!$B$4:$B$53,MATCH(15,'Cad. Materiais'!$J$4:$J$53,0)),"")</f>
        <v>Nota promissória</v>
      </c>
      <c r="B16" t="str">
        <f>IFERROR(INDEX('Cad. Colaboradores'!$B$4:$B$53,MATCH(15,'Cad. Colaboradores'!$G$4:$G$53,0)),"")</f>
        <v/>
      </c>
    </row>
    <row r="17" spans="1:2" x14ac:dyDescent="0.25">
      <c r="A17" t="str">
        <f>IFERROR(INDEX('Cad. Materiais'!$B$4:$B$53,MATCH(16,'Cad. Materiais'!$J$4:$J$53,0)),"")</f>
        <v>Bateria</v>
      </c>
      <c r="B17" t="str">
        <f>IFERROR(INDEX('Cad. Colaboradores'!$B$4:$B$53,MATCH(16,'Cad. Colaboradores'!$G$4:$G$53,0)),"")</f>
        <v/>
      </c>
    </row>
    <row r="18" spans="1:2" x14ac:dyDescent="0.25">
      <c r="A18" t="str">
        <f>IFERROR(INDEX('Cad. Materiais'!$B$4:$B$53,MATCH(17,'Cad. Materiais'!$J$4:$J$53,0)),"")</f>
        <v>Pilhas</v>
      </c>
      <c r="B18" t="str">
        <f>IFERROR(INDEX('Cad. Colaboradores'!$B$4:$B$53,MATCH(17,'Cad. Colaboradores'!$G$4:$G$53,0)),"")</f>
        <v/>
      </c>
    </row>
    <row r="19" spans="1:2" x14ac:dyDescent="0.25">
      <c r="A19" t="str">
        <f>IFERROR(INDEX('Cad. Materiais'!$B$4:$B$53,MATCH(18,'Cad. Materiais'!$J$4:$J$53,0)),"")</f>
        <v>Cola bastão</v>
      </c>
      <c r="B19" t="str">
        <f>IFERROR(INDEX('Cad. Colaboradores'!$B$4:$B$53,MATCH(18,'Cad. Colaboradores'!$G$4:$G$53,0)),"")</f>
        <v/>
      </c>
    </row>
    <row r="20" spans="1:2" x14ac:dyDescent="0.25">
      <c r="A20" t="str">
        <f>IFERROR(INDEX('Cad. Materiais'!$B$4:$B$53,MATCH(19,'Cad. Materiais'!$J$4:$J$53,0)),"")</f>
        <v>Régua</v>
      </c>
      <c r="B20" t="str">
        <f>IFERROR(INDEX('Cad. Colaboradores'!$B$4:$B$53,MATCH(19,'Cad. Colaboradores'!$G$4:$G$53,0)),"")</f>
        <v/>
      </c>
    </row>
    <row r="21" spans="1:2" x14ac:dyDescent="0.25">
      <c r="A21" t="str">
        <f>IFERROR(INDEX('Cad. Materiais'!$B$4:$B$53,MATCH(20,'Cad. Materiais'!$J$4:$J$53,0)),"")</f>
        <v>Grampeador</v>
      </c>
      <c r="B21" t="str">
        <f>IFERROR(INDEX('Cad. Colaboradores'!$B$4:$B$53,MATCH(20,'Cad. Colaboradores'!$G$4:$G$53,0)),"")</f>
        <v/>
      </c>
    </row>
    <row r="22" spans="1:2" x14ac:dyDescent="0.25">
      <c r="A22" t="str">
        <f>IFERROR(INDEX('Cad. Materiais'!$B$4:$B$53,MATCH(21,'Cad. Materiais'!$J$4:$J$53,0)),"")</f>
        <v>Bloco de notas</v>
      </c>
      <c r="B22" t="str">
        <f>IFERROR(INDEX('Cad. Colaboradores'!$B$4:$B$53,MATCH(21,'Cad. Colaboradores'!$G$4:$G$53,0)),"")</f>
        <v/>
      </c>
    </row>
    <row r="23" spans="1:2" x14ac:dyDescent="0.25">
      <c r="A23" t="str">
        <f>IFERROR(INDEX('Cad. Materiais'!$B$4:$B$53,MATCH(22,'Cad. Materiais'!$J$4:$J$53,0)),"")</f>
        <v>Bobina</v>
      </c>
      <c r="B23" t="str">
        <f>IFERROR(INDEX('Cad. Colaboradores'!$B$4:$B$53,MATCH(22,'Cad. Colaboradores'!$G$4:$G$53,0)),"")</f>
        <v/>
      </c>
    </row>
    <row r="24" spans="1:2" x14ac:dyDescent="0.25">
      <c r="A24" t="str">
        <f>IFERROR(INDEX('Cad. Materiais'!$B$4:$B$53,MATCH(23,'Cad. Materiais'!$J$4:$J$53,0)),"")</f>
        <v>Caneta Vermelha</v>
      </c>
      <c r="B24" t="str">
        <f>IFERROR(INDEX('Cad. Colaboradores'!$B$4:$B$53,MATCH(23,'Cad. Colaboradores'!$G$4:$G$53,0)),"")</f>
        <v/>
      </c>
    </row>
    <row r="25" spans="1:2" x14ac:dyDescent="0.25">
      <c r="A25" t="str">
        <f>IFERROR(INDEX('Cad. Materiais'!$B$4:$B$53,MATCH(24,'Cad. Materiais'!$J$4:$J$53,0)),"")</f>
        <v>Tesoura</v>
      </c>
      <c r="B25" t="str">
        <f>IFERROR(INDEX('Cad. Colaboradores'!$B$4:$B$53,MATCH(24,'Cad. Colaboradores'!$G$4:$G$53,0)),"")</f>
        <v/>
      </c>
    </row>
    <row r="26" spans="1:2" x14ac:dyDescent="0.25">
      <c r="A26" t="str">
        <f>IFERROR(INDEX('Cad. Materiais'!$B$4:$B$53,MATCH(25,'Cad. Materiais'!$J$4:$J$53,0)),"")</f>
        <v>Papel A3</v>
      </c>
      <c r="B26" t="str">
        <f>IFERROR(INDEX('Cad. Colaboradores'!$B$4:$B$53,MATCH(25,'Cad. Colaboradores'!$G$4:$G$53,0)),"")</f>
        <v/>
      </c>
    </row>
    <row r="27" spans="1:2" x14ac:dyDescent="0.25">
      <c r="A27" t="str">
        <f>IFERROR(INDEX('Cad. Materiais'!$B$4:$B$53,MATCH(26,'Cad. Materiais'!$J$4:$J$53,0)),"")</f>
        <v/>
      </c>
      <c r="B27" t="str">
        <f>IFERROR(INDEX('Cad. Colaboradores'!$B$4:$B$53,MATCH(26,'Cad. Colaboradores'!$G$4:$G$53,0)),"")</f>
        <v/>
      </c>
    </row>
    <row r="28" spans="1:2" x14ac:dyDescent="0.25">
      <c r="A28" t="str">
        <f>IFERROR(INDEX('Cad. Materiais'!$B$4:$B$53,MATCH(27,'Cad. Materiais'!$J$4:$J$53,0)),"")</f>
        <v/>
      </c>
      <c r="B28" t="str">
        <f>IFERROR(INDEX('Cad. Colaboradores'!$B$4:$B$53,MATCH(27,'Cad. Colaboradores'!$G$4:$G$53,0)),"")</f>
        <v/>
      </c>
    </row>
    <row r="29" spans="1:2" x14ac:dyDescent="0.25">
      <c r="A29" t="str">
        <f>IFERROR(INDEX('Cad. Materiais'!$B$4:$B$53,MATCH(28,'Cad. Materiais'!$J$4:$J$53,0)),"")</f>
        <v/>
      </c>
      <c r="B29" t="str">
        <f>IFERROR(INDEX('Cad. Colaboradores'!$B$4:$B$53,MATCH(28,'Cad. Colaboradores'!$G$4:$G$53,0)),"")</f>
        <v/>
      </c>
    </row>
    <row r="30" spans="1:2" x14ac:dyDescent="0.25">
      <c r="A30" t="str">
        <f>IFERROR(INDEX('Cad. Materiais'!$B$4:$B$53,MATCH(29,'Cad. Materiais'!$J$4:$J$53,0)),"")</f>
        <v/>
      </c>
      <c r="B30" t="str">
        <f>IFERROR(INDEX('Cad. Colaboradores'!$B$4:$B$53,MATCH(29,'Cad. Colaboradores'!$G$4:$G$53,0)),"")</f>
        <v/>
      </c>
    </row>
    <row r="31" spans="1:2" x14ac:dyDescent="0.25">
      <c r="A31" t="str">
        <f>IFERROR(INDEX('Cad. Materiais'!$B$4:$B$53,MATCH(30,'Cad. Materiais'!$J$4:$J$53,0)),"")</f>
        <v/>
      </c>
      <c r="B31" t="str">
        <f>IFERROR(INDEX('Cad. Colaboradores'!$B$4:$B$53,MATCH(30,'Cad. Colaboradores'!$G$4:$G$53,0)),"")</f>
        <v/>
      </c>
    </row>
    <row r="32" spans="1:2" x14ac:dyDescent="0.25">
      <c r="A32" t="str">
        <f>IFERROR(INDEX('Cad. Materiais'!$B$4:$B$53,MATCH(31,'Cad. Materiais'!$J$4:$J$53,0)),"")</f>
        <v/>
      </c>
      <c r="B32" t="str">
        <f>IFERROR(INDEX('Cad. Colaboradores'!$B$4:$B$53,MATCH(31,'Cad. Colaboradores'!$G$4:$G$53,0)),"")</f>
        <v/>
      </c>
    </row>
    <row r="33" spans="1:2" x14ac:dyDescent="0.25">
      <c r="A33" t="str">
        <f>IFERROR(INDEX('Cad. Materiais'!$B$4:$B$53,MATCH(32,'Cad. Materiais'!$J$4:$J$53,0)),"")</f>
        <v/>
      </c>
      <c r="B33" t="str">
        <f>IFERROR(INDEX('Cad. Colaboradores'!$B$4:$B$53,MATCH(32,'Cad. Colaboradores'!$G$4:$G$53,0)),"")</f>
        <v/>
      </c>
    </row>
    <row r="34" spans="1:2" x14ac:dyDescent="0.25">
      <c r="A34" t="str">
        <f>IFERROR(INDEX('Cad. Materiais'!$B$4:$B$53,MATCH(33,'Cad. Materiais'!$J$4:$J$53,0)),"")</f>
        <v/>
      </c>
      <c r="B34" t="str">
        <f>IFERROR(INDEX('Cad. Colaboradores'!$B$4:$B$53,MATCH(33,'Cad. Colaboradores'!$G$4:$G$53,0)),"")</f>
        <v/>
      </c>
    </row>
    <row r="35" spans="1:2" x14ac:dyDescent="0.25">
      <c r="A35" t="str">
        <f>IFERROR(INDEX('Cad. Materiais'!$B$4:$B$53,MATCH(34,'Cad. Materiais'!$J$4:$J$53,0)),"")</f>
        <v/>
      </c>
      <c r="B35" t="str">
        <f>IFERROR(INDEX('Cad. Colaboradores'!$B$4:$B$53,MATCH(34,'Cad. Colaboradores'!$G$4:$G$53,0)),"")</f>
        <v/>
      </c>
    </row>
    <row r="36" spans="1:2" x14ac:dyDescent="0.25">
      <c r="A36" t="str">
        <f>IFERROR(INDEX('Cad. Materiais'!$B$4:$B$53,MATCH(35,'Cad. Materiais'!$J$4:$J$53,0)),"")</f>
        <v/>
      </c>
      <c r="B36" t="str">
        <f>IFERROR(INDEX('Cad. Colaboradores'!$B$4:$B$53,MATCH(35,'Cad. Colaboradores'!$G$4:$G$53,0)),"")</f>
        <v/>
      </c>
    </row>
    <row r="37" spans="1:2" x14ac:dyDescent="0.25">
      <c r="A37" t="str">
        <f>IFERROR(INDEX('Cad. Materiais'!$B$4:$B$53,MATCH(36,'Cad. Materiais'!$J$4:$J$53,0)),"")</f>
        <v/>
      </c>
      <c r="B37" t="str">
        <f>IFERROR(INDEX('Cad. Colaboradores'!$B$4:$B$53,MATCH(36,'Cad. Colaboradores'!$G$4:$G$53,0)),"")</f>
        <v/>
      </c>
    </row>
    <row r="38" spans="1:2" x14ac:dyDescent="0.25">
      <c r="A38" t="str">
        <f>IFERROR(INDEX('Cad. Materiais'!$B$4:$B$53,MATCH(37,'Cad. Materiais'!$J$4:$J$53,0)),"")</f>
        <v/>
      </c>
      <c r="B38" t="str">
        <f>IFERROR(INDEX('Cad. Colaboradores'!$B$4:$B$53,MATCH(37,'Cad. Colaboradores'!$G$4:$G$53,0)),"")</f>
        <v/>
      </c>
    </row>
    <row r="39" spans="1:2" x14ac:dyDescent="0.25">
      <c r="A39" t="str">
        <f>IFERROR(INDEX('Cad. Materiais'!$B$4:$B$53,MATCH(38,'Cad. Materiais'!$J$4:$J$53,0)),"")</f>
        <v/>
      </c>
      <c r="B39" t="str">
        <f>IFERROR(INDEX('Cad. Colaboradores'!$B$4:$B$53,MATCH(38,'Cad. Colaboradores'!$G$4:$G$53,0)),"")</f>
        <v/>
      </c>
    </row>
    <row r="40" spans="1:2" x14ac:dyDescent="0.25">
      <c r="A40" t="str">
        <f>IFERROR(INDEX('Cad. Materiais'!$B$4:$B$53,MATCH(39,'Cad. Materiais'!$J$4:$J$53,0)),"")</f>
        <v/>
      </c>
      <c r="B40" t="str">
        <f>IFERROR(INDEX('Cad. Colaboradores'!$B$4:$B$53,MATCH(39,'Cad. Colaboradores'!$G$4:$G$53,0)),"")</f>
        <v/>
      </c>
    </row>
    <row r="41" spans="1:2" x14ac:dyDescent="0.25">
      <c r="A41" t="str">
        <f>IFERROR(INDEX('Cad. Materiais'!$B$4:$B$53,MATCH(40,'Cad. Materiais'!$J$4:$J$53,0)),"")</f>
        <v/>
      </c>
      <c r="B41" t="str">
        <f>IFERROR(INDEX('Cad. Colaboradores'!$B$4:$B$53,MATCH(40,'Cad. Colaboradores'!$G$4:$G$53,0)),"")</f>
        <v/>
      </c>
    </row>
    <row r="42" spans="1:2" x14ac:dyDescent="0.25">
      <c r="A42" t="str">
        <f>IFERROR(INDEX('Cad. Materiais'!$B$4:$B$53,MATCH(41,'Cad. Materiais'!$J$4:$J$53,0)),"")</f>
        <v/>
      </c>
      <c r="B42" t="str">
        <f>IFERROR(INDEX('Cad. Colaboradores'!$B$4:$B$53,MATCH(41,'Cad. Colaboradores'!$G$4:$G$53,0)),"")</f>
        <v/>
      </c>
    </row>
    <row r="43" spans="1:2" x14ac:dyDescent="0.25">
      <c r="A43" t="str">
        <f>IFERROR(INDEX('Cad. Materiais'!$B$4:$B$53,MATCH(42,'Cad. Materiais'!$J$4:$J$53,0)),"")</f>
        <v/>
      </c>
      <c r="B43" t="str">
        <f>IFERROR(INDEX('Cad. Colaboradores'!$B$4:$B$53,MATCH(42,'Cad. Colaboradores'!$G$4:$G$53,0)),"")</f>
        <v/>
      </c>
    </row>
    <row r="44" spans="1:2" x14ac:dyDescent="0.25">
      <c r="A44" t="str">
        <f>IFERROR(INDEX('Cad. Materiais'!$B$4:$B$53,MATCH(43,'Cad. Materiais'!$J$4:$J$53,0)),"")</f>
        <v/>
      </c>
      <c r="B44" t="str">
        <f>IFERROR(INDEX('Cad. Colaboradores'!$B$4:$B$53,MATCH(43,'Cad. Colaboradores'!$G$4:$G$53,0)),"")</f>
        <v/>
      </c>
    </row>
    <row r="45" spans="1:2" x14ac:dyDescent="0.25">
      <c r="A45" t="str">
        <f>IFERROR(INDEX('Cad. Materiais'!$B$4:$B$53,MATCH(44,'Cad. Materiais'!$J$4:$J$53,0)),"")</f>
        <v/>
      </c>
      <c r="B45" t="str">
        <f>IFERROR(INDEX('Cad. Colaboradores'!$B$4:$B$53,MATCH(44,'Cad. Colaboradores'!$G$4:$G$53,0)),"")</f>
        <v/>
      </c>
    </row>
    <row r="46" spans="1:2" x14ac:dyDescent="0.25">
      <c r="A46" t="str">
        <f>IFERROR(INDEX('Cad. Materiais'!$B$4:$B$53,MATCH(45,'Cad. Materiais'!$J$4:$J$53,0)),"")</f>
        <v/>
      </c>
      <c r="B46" t="str">
        <f>IFERROR(INDEX('Cad. Colaboradores'!$B$4:$B$53,MATCH(45,'Cad. Colaboradores'!$G$4:$G$53,0)),"")</f>
        <v/>
      </c>
    </row>
    <row r="47" spans="1:2" x14ac:dyDescent="0.25">
      <c r="A47" t="str">
        <f>IFERROR(INDEX('Cad. Materiais'!$B$4:$B$53,MATCH(46,'Cad. Materiais'!$J$4:$J$53,0)),"")</f>
        <v/>
      </c>
      <c r="B47" t="str">
        <f>IFERROR(INDEX('Cad. Colaboradores'!$B$4:$B$53,MATCH(46,'Cad. Colaboradores'!$G$4:$G$53,0)),"")</f>
        <v/>
      </c>
    </row>
    <row r="48" spans="1:2" x14ac:dyDescent="0.25">
      <c r="A48" t="str">
        <f>IFERROR(INDEX('Cad. Materiais'!$B$4:$B$53,MATCH(47,'Cad. Materiais'!$J$4:$J$53,0)),"")</f>
        <v/>
      </c>
      <c r="B48" t="str">
        <f>IFERROR(INDEX('Cad. Colaboradores'!$B$4:$B$53,MATCH(47,'Cad. Colaboradores'!$G$4:$G$53,0)),"")</f>
        <v/>
      </c>
    </row>
    <row r="49" spans="1:2" x14ac:dyDescent="0.25">
      <c r="A49" t="str">
        <f>IFERROR(INDEX('Cad. Materiais'!$B$4:$B$53,MATCH(48,'Cad. Materiais'!$J$4:$J$53,0)),"")</f>
        <v/>
      </c>
      <c r="B49" t="str">
        <f>IFERROR(INDEX('Cad. Colaboradores'!$B$4:$B$53,MATCH(48,'Cad. Colaboradores'!$G$4:$G$53,0)),"")</f>
        <v/>
      </c>
    </row>
    <row r="50" spans="1:2" x14ac:dyDescent="0.25">
      <c r="A50" t="str">
        <f>IFERROR(INDEX('Cad. Materiais'!$B$4:$B$53,MATCH(49,'Cad. Materiais'!$J$4:$J$53,0)),"")</f>
        <v/>
      </c>
      <c r="B50" t="str">
        <f>IFERROR(INDEX('Cad. Colaboradores'!$B$4:$B$53,MATCH(49,'Cad. Colaboradores'!$G$4:$G$53,0)),"")</f>
        <v/>
      </c>
    </row>
    <row r="51" spans="1:2" x14ac:dyDescent="0.25">
      <c r="A51" t="str">
        <f>IFERROR(INDEX('Cad. Materiais'!$B$4:$B$53,MATCH(50,'Cad. Materiais'!$J$4:$J$53,0)),"")</f>
        <v/>
      </c>
      <c r="B51" t="str">
        <f>IFERROR(INDEX('Cad. Colaboradores'!$B$4:$B$53,MATCH(50,'Cad. Colaboradores'!$G$4:$G$53,0)),"")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Início</vt:lpstr>
      <vt:lpstr>Dashboard</vt:lpstr>
      <vt:lpstr>Estoque Atual</vt:lpstr>
      <vt:lpstr>Movimentações</vt:lpstr>
      <vt:lpstr>Cad. Materiais</vt:lpstr>
      <vt:lpstr>Cad. Colaboradores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</cp:lastModifiedBy>
  <dcterms:created xsi:type="dcterms:W3CDTF">2026-05-05T00:15:49Z</dcterms:created>
  <dcterms:modified xsi:type="dcterms:W3CDTF">2026-05-14T03:47:16Z</dcterms:modified>
</cp:coreProperties>
</file>